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beyondappliances-my.sharepoint.com/personal/santhosh_beyondappliances_in/Documents/"/>
    </mc:Choice>
  </mc:AlternateContent>
  <xr:revisionPtr revIDLastSave="0" documentId="8_{586AA1CC-87E0-4359-A7F9-AC422D67D036}" xr6:coauthVersionLast="47" xr6:coauthVersionMax="47" xr10:uidLastSave="{00000000-0000-0000-0000-000000000000}"/>
  <bookViews>
    <workbookView xWindow="0" yWindow="720" windowWidth="29400" windowHeight="18400" activeTab="5" xr2:uid="{00000000-000D-0000-FFFF-FFFF00000000}"/>
  </bookViews>
  <sheets>
    <sheet name="Inputs (2)" sheetId="16" r:id="rId1"/>
    <sheet name="Inputs" sheetId="7" r:id="rId2"/>
    <sheet name="Plan-JAS" sheetId="2" state="hidden" r:id="rId3"/>
    <sheet name="Plan-OND" sheetId="11" r:id="rId4"/>
    <sheet name="Plan-JFM" sheetId="12" r:id="rId5"/>
    <sheet name="S&amp;OP" sheetId="5" r:id="rId6"/>
    <sheet name="Closed WO" sheetId="14" r:id="rId7"/>
    <sheet name="internal to sales" sheetId="6" state="hidden" r:id="rId8"/>
    <sheet name="definitions" sheetId="4" state="hidden" r:id="rId9"/>
    <sheet name="Weekly target Vs achieved" sheetId="8" r:id="rId10"/>
    <sheet name="COGS - Temp" sheetId="15" r:id="rId11"/>
    <sheet name="COGS Target Sheet" sheetId="9" r:id="rId12"/>
  </sheets>
  <definedNames>
    <definedName name="_xlnm._FilterDatabase" localSheetId="10" hidden="1">'COGS - Temp'!$A$1:$AA$21</definedName>
    <definedName name="_xlnm._FilterDatabase" localSheetId="11" hidden="1">'COGS Target Sheet'!$A$1:$R$21</definedName>
    <definedName name="_xlnm._FilterDatabase" localSheetId="2" hidden="1">'Plan-JAS'!$A$1:$CG$58</definedName>
    <definedName name="_xlnm._FilterDatabase" localSheetId="4" hidden="1">'Plan-JFM'!$A$25:$FY$25</definedName>
    <definedName name="_xlnm._FilterDatabase" localSheetId="3" hidden="1">'Plan-OND'!$A$21:$EV$21</definedName>
    <definedName name="_xlnm._FilterDatabase" localSheetId="5" hidden="1">'S&amp;OP'!$A$1:$AD$1</definedName>
    <definedName name="_xlnm._FilterDatabase" localSheetId="1" hidden="1">Inputs!$A$1:$Y$68</definedName>
    <definedName name="_xlnm._FilterDatabase" localSheetId="0" hidden="1">'Inputs (2)'!$A$1:$V$68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7" l="1"/>
  <c r="H22" i="7"/>
  <c r="BA74" i="12"/>
  <c r="H26" i="7"/>
  <c r="S24" i="16"/>
  <c r="S25" i="16"/>
  <c r="S26" i="16"/>
  <c r="S27" i="16"/>
  <c r="S28" i="16"/>
  <c r="S29" i="16"/>
  <c r="S30" i="16"/>
  <c r="S31" i="16"/>
  <c r="S32" i="16"/>
  <c r="S33" i="16"/>
  <c r="S34" i="16"/>
  <c r="S35" i="16"/>
  <c r="S36" i="16"/>
  <c r="S37" i="16"/>
  <c r="S38" i="16"/>
  <c r="S39" i="16"/>
  <c r="S40" i="16"/>
  <c r="S41" i="16"/>
  <c r="S43" i="16"/>
  <c r="S44" i="16"/>
  <c r="S45" i="16"/>
  <c r="S46" i="16"/>
  <c r="S47" i="16"/>
  <c r="S48" i="16"/>
  <c r="S49" i="16"/>
  <c r="S50" i="16"/>
  <c r="S51" i="16"/>
  <c r="S52" i="16"/>
  <c r="S53" i="16"/>
  <c r="S54" i="16"/>
  <c r="S55" i="16"/>
  <c r="S56" i="16"/>
  <c r="S57" i="16"/>
  <c r="S58" i="16"/>
  <c r="S59" i="16"/>
  <c r="S60" i="16"/>
  <c r="S61" i="16"/>
  <c r="S62" i="16"/>
  <c r="S63" i="16"/>
  <c r="S64" i="16"/>
  <c r="S65" i="16"/>
  <c r="S66" i="16"/>
  <c r="S67" i="16"/>
  <c r="S68" i="16"/>
  <c r="I46" i="7"/>
  <c r="H20" i="16"/>
  <c r="F48" i="5"/>
  <c r="G48" i="5"/>
  <c r="E48" i="5"/>
  <c r="D44" i="5"/>
  <c r="D45" i="5"/>
  <c r="D46" i="5"/>
  <c r="H17" i="16"/>
  <c r="H4" i="7"/>
  <c r="H31" i="7"/>
  <c r="H30" i="7"/>
  <c r="R43" i="16"/>
  <c r="Q29" i="16"/>
  <c r="Q38" i="16"/>
  <c r="Q41" i="16"/>
  <c r="Q42" i="16"/>
  <c r="Q43" i="16"/>
  <c r="Q44" i="16"/>
  <c r="Q45" i="16"/>
  <c r="Q47" i="16"/>
  <c r="Q48" i="16"/>
  <c r="Q49" i="16"/>
  <c r="Q54" i="16"/>
  <c r="Q55" i="16"/>
  <c r="Q59" i="16"/>
  <c r="Q60" i="16"/>
  <c r="Q13" i="15"/>
  <c r="BL30" i="12"/>
  <c r="BK30" i="12"/>
  <c r="BJ30" i="12"/>
  <c r="BI30" i="12"/>
  <c r="BH30" i="12"/>
  <c r="BG30" i="12"/>
  <c r="BC30" i="12"/>
  <c r="BB30" i="12"/>
  <c r="BA30" i="12"/>
  <c r="AZ30" i="12"/>
  <c r="S3" i="16"/>
  <c r="S4" i="16"/>
  <c r="S5" i="16"/>
  <c r="S6" i="16"/>
  <c r="S7" i="16"/>
  <c r="S8" i="16"/>
  <c r="S9" i="16"/>
  <c r="S10" i="16"/>
  <c r="S11" i="16"/>
  <c r="S12" i="16"/>
  <c r="S13" i="16"/>
  <c r="S14" i="16"/>
  <c r="S15" i="16"/>
  <c r="S16" i="16"/>
  <c r="S17" i="16"/>
  <c r="S18" i="16"/>
  <c r="S19" i="16"/>
  <c r="S20" i="16"/>
  <c r="S21" i="16"/>
  <c r="S22" i="16"/>
  <c r="S23" i="16"/>
  <c r="S2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H30" i="16"/>
  <c r="I30" i="16" s="1"/>
  <c r="H29" i="16"/>
  <c r="I29" i="16" s="1"/>
  <c r="I28" i="16"/>
  <c r="I27" i="16"/>
  <c r="I26" i="16"/>
  <c r="I25" i="16"/>
  <c r="H24" i="16"/>
  <c r="I24" i="16" s="1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H4" i="16"/>
  <c r="I4" i="16" s="1"/>
  <c r="I3" i="16"/>
  <c r="L5" i="15"/>
  <c r="J5" i="15"/>
  <c r="Q19" i="15"/>
  <c r="H29" i="7"/>
  <c r="Q20" i="15"/>
  <c r="H24" i="7"/>
  <c r="E2" i="15"/>
  <c r="I9" i="7"/>
  <c r="I34" i="7"/>
  <c r="I29" i="7"/>
  <c r="E14" i="15"/>
  <c r="G14" i="15"/>
  <c r="H14" i="15"/>
  <c r="BR4" i="8"/>
  <c r="BR5" i="8"/>
  <c r="BR6" i="8"/>
  <c r="BR7" i="8"/>
  <c r="BR8" i="8"/>
  <c r="BR9" i="8"/>
  <c r="BR10" i="8"/>
  <c r="BR11" i="8"/>
  <c r="BR12" i="8"/>
  <c r="BR13" i="8"/>
  <c r="BR14" i="8"/>
  <c r="BR15" i="8"/>
  <c r="BR16" i="8"/>
  <c r="BR17" i="8"/>
  <c r="BR18" i="8"/>
  <c r="BR19" i="8"/>
  <c r="BR20" i="8"/>
  <c r="BR21" i="8"/>
  <c r="BR22" i="8"/>
  <c r="BR3" i="8"/>
  <c r="BQ4" i="8"/>
  <c r="BQ5" i="8"/>
  <c r="BQ6" i="8"/>
  <c r="BQ7" i="8"/>
  <c r="BQ8" i="8"/>
  <c r="BQ9" i="8"/>
  <c r="BQ10" i="8"/>
  <c r="BQ11" i="8"/>
  <c r="BQ12" i="8"/>
  <c r="BQ13" i="8"/>
  <c r="BQ14" i="8"/>
  <c r="BQ15" i="8"/>
  <c r="BQ16" i="8"/>
  <c r="BQ17" i="8"/>
  <c r="BQ18" i="8"/>
  <c r="BQ19" i="8"/>
  <c r="BQ20" i="8"/>
  <c r="BQ21" i="8"/>
  <c r="BQ22" i="8"/>
  <c r="BQ3" i="8"/>
  <c r="BP4" i="8"/>
  <c r="BP5" i="8"/>
  <c r="BP6" i="8"/>
  <c r="BP7" i="8"/>
  <c r="BP8" i="8"/>
  <c r="BP9" i="8"/>
  <c r="BP10" i="8"/>
  <c r="BP11" i="8"/>
  <c r="BP12" i="8"/>
  <c r="BP13" i="8"/>
  <c r="BP14" i="8"/>
  <c r="BP15" i="8"/>
  <c r="BP16" i="8"/>
  <c r="BP17" i="8"/>
  <c r="BP18" i="8"/>
  <c r="BP19" i="8"/>
  <c r="BP20" i="8"/>
  <c r="BP21" i="8"/>
  <c r="BP22" i="8"/>
  <c r="BP3" i="8"/>
  <c r="BR23" i="8"/>
  <c r="BQ23" i="8"/>
  <c r="BP23" i="8"/>
  <c r="I53" i="7"/>
  <c r="I52" i="7"/>
  <c r="F78" i="5"/>
  <c r="G78" i="5"/>
  <c r="D76" i="5"/>
  <c r="D75" i="5"/>
  <c r="D74" i="5"/>
  <c r="D73" i="5"/>
  <c r="E62" i="5"/>
  <c r="BO4" i="8"/>
  <c r="BO5" i="8"/>
  <c r="BO6" i="8"/>
  <c r="BO7" i="8"/>
  <c r="BO8" i="8"/>
  <c r="BO9" i="8"/>
  <c r="BO10" i="8"/>
  <c r="BO11" i="8"/>
  <c r="BO12" i="8"/>
  <c r="BO13" i="8"/>
  <c r="BO14" i="8"/>
  <c r="BO15" i="8"/>
  <c r="BO16" i="8"/>
  <c r="BO17" i="8"/>
  <c r="BO18" i="8"/>
  <c r="BO19" i="8"/>
  <c r="BO20" i="8"/>
  <c r="BO21" i="8"/>
  <c r="BO22" i="8"/>
  <c r="BO3" i="8"/>
  <c r="BM4" i="8"/>
  <c r="BM5" i="8"/>
  <c r="BM6" i="8"/>
  <c r="BM7" i="8"/>
  <c r="BM8" i="8"/>
  <c r="BM9" i="8"/>
  <c r="BM10" i="8"/>
  <c r="BM11" i="8"/>
  <c r="BM12" i="8"/>
  <c r="BM13" i="8"/>
  <c r="BM14" i="8"/>
  <c r="BM15" i="8"/>
  <c r="BM16" i="8"/>
  <c r="BM17" i="8"/>
  <c r="BM18" i="8"/>
  <c r="BM19" i="8"/>
  <c r="BM20" i="8"/>
  <c r="BM21" i="8"/>
  <c r="BM22" i="8"/>
  <c r="BM3" i="8"/>
  <c r="BN22" i="8"/>
  <c r="BN21" i="8"/>
  <c r="BN20" i="8"/>
  <c r="BN19" i="8"/>
  <c r="BN18" i="8"/>
  <c r="BN17" i="8"/>
  <c r="BN16" i="8"/>
  <c r="BN15" i="8"/>
  <c r="BN14" i="8"/>
  <c r="BN13" i="8"/>
  <c r="BN12" i="8"/>
  <c r="BN11" i="8"/>
  <c r="BN10" i="8"/>
  <c r="BN9" i="8"/>
  <c r="BN8" i="8"/>
  <c r="BN6" i="8"/>
  <c r="BN5" i="8"/>
  <c r="BN4" i="8"/>
  <c r="BO23" i="8"/>
  <c r="BN3" i="8"/>
  <c r="BN23" i="8" s="1"/>
  <c r="BM23" i="8"/>
  <c r="H20" i="9"/>
  <c r="E67" i="5"/>
  <c r="E66" i="5"/>
  <c r="E56" i="5"/>
  <c r="E55" i="5"/>
  <c r="E69" i="5"/>
  <c r="E70" i="5"/>
  <c r="Q27" i="15"/>
  <c r="P27" i="15"/>
  <c r="T3" i="15"/>
  <c r="T4" i="15"/>
  <c r="T5" i="15"/>
  <c r="T7" i="15"/>
  <c r="T9" i="15"/>
  <c r="T10" i="15"/>
  <c r="T6" i="15"/>
  <c r="T12" i="15"/>
  <c r="T13" i="15"/>
  <c r="T15" i="15"/>
  <c r="T16" i="15"/>
  <c r="T17" i="15"/>
  <c r="T19" i="15"/>
  <c r="T2" i="15"/>
  <c r="T20" i="15"/>
  <c r="P8" i="15"/>
  <c r="P14" i="15"/>
  <c r="T14" i="15" s="1"/>
  <c r="P11" i="15"/>
  <c r="P18" i="15"/>
  <c r="T18" i="15" s="1"/>
  <c r="T21" i="15"/>
  <c r="H20" i="15"/>
  <c r="H8" i="15"/>
  <c r="H11" i="15"/>
  <c r="H17" i="15"/>
  <c r="H18" i="15"/>
  <c r="H12" i="15"/>
  <c r="H13" i="15"/>
  <c r="H10" i="15"/>
  <c r="H4" i="15"/>
  <c r="H5" i="15"/>
  <c r="H2" i="15"/>
  <c r="G21" i="15"/>
  <c r="G19" i="15"/>
  <c r="G16" i="15"/>
  <c r="G15" i="15"/>
  <c r="G7" i="15"/>
  <c r="G6" i="15"/>
  <c r="G9" i="15"/>
  <c r="G3" i="15"/>
  <c r="G20" i="15"/>
  <c r="G8" i="15"/>
  <c r="G11" i="15"/>
  <c r="G17" i="15"/>
  <c r="G18" i="15"/>
  <c r="G12" i="15"/>
  <c r="G13" i="15"/>
  <c r="G10" i="15"/>
  <c r="G4" i="15"/>
  <c r="G5" i="15"/>
  <c r="G2" i="15"/>
  <c r="I21" i="15"/>
  <c r="I19" i="15"/>
  <c r="I16" i="15"/>
  <c r="I15" i="15"/>
  <c r="I7" i="15"/>
  <c r="I6" i="15"/>
  <c r="I9" i="15"/>
  <c r="I3" i="15"/>
  <c r="F21" i="15"/>
  <c r="F19" i="15"/>
  <c r="F16" i="15"/>
  <c r="F15" i="15"/>
  <c r="F7" i="15"/>
  <c r="F6" i="15"/>
  <c r="F9" i="15"/>
  <c r="F3" i="15"/>
  <c r="E20" i="15"/>
  <c r="E8" i="15"/>
  <c r="E11" i="15"/>
  <c r="E17" i="15"/>
  <c r="E18" i="15"/>
  <c r="E12" i="15"/>
  <c r="E13" i="15"/>
  <c r="E10" i="15"/>
  <c r="E4" i="15"/>
  <c r="E5" i="15"/>
  <c r="O8" i="15"/>
  <c r="T8" i="15" s="1"/>
  <c r="O11" i="15"/>
  <c r="T11" i="15" s="1"/>
  <c r="BL4" i="8"/>
  <c r="BL5" i="8"/>
  <c r="BL6" i="8"/>
  <c r="BL7" i="8"/>
  <c r="BL8" i="8"/>
  <c r="BL9" i="8"/>
  <c r="BL10" i="8"/>
  <c r="BL11" i="8"/>
  <c r="BL12" i="8"/>
  <c r="BL13" i="8"/>
  <c r="BL14" i="8"/>
  <c r="BL15" i="8"/>
  <c r="BL16" i="8"/>
  <c r="BL17" i="8"/>
  <c r="BL18" i="8"/>
  <c r="BL19" i="8"/>
  <c r="BL20" i="8"/>
  <c r="BL21" i="8"/>
  <c r="BL22" i="8"/>
  <c r="BL3" i="8"/>
  <c r="BJ4" i="8"/>
  <c r="BJ5" i="8"/>
  <c r="BJ6" i="8"/>
  <c r="BJ8" i="8"/>
  <c r="BJ9" i="8"/>
  <c r="BJ10" i="8"/>
  <c r="BJ11" i="8"/>
  <c r="BJ12" i="8"/>
  <c r="BJ13" i="8"/>
  <c r="BJ14" i="8"/>
  <c r="BJ15" i="8"/>
  <c r="BJ16" i="8"/>
  <c r="BJ17" i="8"/>
  <c r="BJ18" i="8"/>
  <c r="BJ19" i="8"/>
  <c r="BJ20" i="8"/>
  <c r="BJ21" i="8"/>
  <c r="BJ22" i="8"/>
  <c r="BJ3" i="8"/>
  <c r="BK22" i="8"/>
  <c r="BK21" i="8"/>
  <c r="BK20" i="8"/>
  <c r="BK19" i="8"/>
  <c r="BK18" i="8"/>
  <c r="BK17" i="8"/>
  <c r="BK16" i="8"/>
  <c r="BK15" i="8"/>
  <c r="BK14" i="8"/>
  <c r="BK13" i="8"/>
  <c r="BK12" i="8"/>
  <c r="BK11" i="8"/>
  <c r="BK10" i="8"/>
  <c r="BK9" i="8"/>
  <c r="BK8" i="8"/>
  <c r="BK6" i="8"/>
  <c r="BK5" i="8"/>
  <c r="BK4" i="8"/>
  <c r="BL23" i="8"/>
  <c r="BK3" i="8"/>
  <c r="BK23" i="8" s="1"/>
  <c r="I2" i="9"/>
  <c r="BI4" i="8"/>
  <c r="BI5" i="8"/>
  <c r="BI6" i="8"/>
  <c r="BI7" i="8"/>
  <c r="BI8" i="8"/>
  <c r="BI9" i="8"/>
  <c r="BI10" i="8"/>
  <c r="BI11" i="8"/>
  <c r="BI12" i="8"/>
  <c r="BI13" i="8"/>
  <c r="BI14" i="8"/>
  <c r="BI15" i="8"/>
  <c r="BI16" i="8"/>
  <c r="BI17" i="8"/>
  <c r="BI18" i="8"/>
  <c r="BI19" i="8"/>
  <c r="BI20" i="8"/>
  <c r="BI21" i="8"/>
  <c r="BI22" i="8"/>
  <c r="BI3" i="8"/>
  <c r="BG4" i="8"/>
  <c r="BG5" i="8"/>
  <c r="BG6" i="8"/>
  <c r="BG7" i="8"/>
  <c r="BG8" i="8"/>
  <c r="BG9" i="8"/>
  <c r="BG10" i="8"/>
  <c r="BG11" i="8"/>
  <c r="BG12" i="8"/>
  <c r="BG13" i="8"/>
  <c r="BG14" i="8"/>
  <c r="BG15" i="8"/>
  <c r="BG16" i="8"/>
  <c r="BG17" i="8"/>
  <c r="BG18" i="8"/>
  <c r="BG19" i="8"/>
  <c r="BG20" i="8"/>
  <c r="BG21" i="8"/>
  <c r="BG22" i="8"/>
  <c r="BG3" i="8"/>
  <c r="BH4" i="8"/>
  <c r="BH5" i="8"/>
  <c r="BH6" i="8"/>
  <c r="BH8" i="8"/>
  <c r="BH9" i="8"/>
  <c r="BH10" i="8"/>
  <c r="BH11" i="8"/>
  <c r="BH12" i="8"/>
  <c r="BH13" i="8"/>
  <c r="BH14" i="8"/>
  <c r="BH15" i="8"/>
  <c r="BH16" i="8"/>
  <c r="BH17" i="8"/>
  <c r="BH18" i="8"/>
  <c r="BH19" i="8"/>
  <c r="BH20" i="8"/>
  <c r="BH21" i="8"/>
  <c r="BH22" i="8"/>
  <c r="BH3" i="8"/>
  <c r="BI23" i="8"/>
  <c r="BH23" i="8"/>
  <c r="BG23" i="8"/>
  <c r="F19" i="12"/>
  <c r="F20" i="12"/>
  <c r="F21" i="12"/>
  <c r="F22" i="12"/>
  <c r="F23" i="12"/>
  <c r="AE30" i="12"/>
  <c r="AI30" i="12"/>
  <c r="AH30" i="12"/>
  <c r="AG30" i="12"/>
  <c r="AF30" i="12"/>
  <c r="N30" i="12"/>
  <c r="BJ7" i="8" s="1"/>
  <c r="I20" i="9"/>
  <c r="J20" i="9" s="1"/>
  <c r="I5" i="9"/>
  <c r="J5" i="9"/>
  <c r="D72" i="5"/>
  <c r="D71" i="5"/>
  <c r="D70" i="5"/>
  <c r="D69" i="5"/>
  <c r="D68" i="5"/>
  <c r="D67" i="5"/>
  <c r="D66" i="5"/>
  <c r="D65" i="5"/>
  <c r="D64" i="5"/>
  <c r="D63" i="5"/>
  <c r="D62" i="5"/>
  <c r="D59" i="5"/>
  <c r="D58" i="5"/>
  <c r="D57" i="5"/>
  <c r="D56" i="5"/>
  <c r="D55" i="5"/>
  <c r="D54" i="5"/>
  <c r="D53" i="5"/>
  <c r="BF4" i="8"/>
  <c r="BF5" i="8"/>
  <c r="BF6" i="8"/>
  <c r="BF7" i="8"/>
  <c r="BF8" i="8"/>
  <c r="BF9" i="8"/>
  <c r="BF10" i="8"/>
  <c r="BF11" i="8"/>
  <c r="BF12" i="8"/>
  <c r="BF13" i="8"/>
  <c r="BF14" i="8"/>
  <c r="BF15" i="8"/>
  <c r="BF16" i="8"/>
  <c r="BF17" i="8"/>
  <c r="BF18" i="8"/>
  <c r="BF19" i="8"/>
  <c r="BF20" i="8"/>
  <c r="BF21" i="8"/>
  <c r="BF22" i="8"/>
  <c r="BF3" i="8"/>
  <c r="BF23" i="8" s="1"/>
  <c r="BE4" i="8"/>
  <c r="BE5" i="8"/>
  <c r="BE6" i="8"/>
  <c r="BE8" i="8"/>
  <c r="BE9" i="8"/>
  <c r="BE10" i="8"/>
  <c r="BE11" i="8"/>
  <c r="BE12" i="8"/>
  <c r="BE13" i="8"/>
  <c r="BE14" i="8"/>
  <c r="BE15" i="8"/>
  <c r="BE16" i="8"/>
  <c r="BE17" i="8"/>
  <c r="BE18" i="8"/>
  <c r="BE19" i="8"/>
  <c r="BE20" i="8"/>
  <c r="BE21" i="8"/>
  <c r="BE22" i="8"/>
  <c r="BE3" i="8"/>
  <c r="BD4" i="8"/>
  <c r="BD5" i="8"/>
  <c r="BD6" i="8"/>
  <c r="BD7" i="8"/>
  <c r="BD8" i="8"/>
  <c r="BD9" i="8"/>
  <c r="BD10" i="8"/>
  <c r="BD11" i="8"/>
  <c r="BD12" i="8"/>
  <c r="BD13" i="8"/>
  <c r="BD14" i="8"/>
  <c r="BD15" i="8"/>
  <c r="BD16" i="8"/>
  <c r="BD17" i="8"/>
  <c r="BD18" i="8"/>
  <c r="BD19" i="8"/>
  <c r="BD20" i="8"/>
  <c r="BD21" i="8"/>
  <c r="BD22" i="8"/>
  <c r="BD3" i="8"/>
  <c r="BD23" i="8"/>
  <c r="CM46" i="11"/>
  <c r="BE7" i="8" s="1"/>
  <c r="BB4" i="8"/>
  <c r="BB5" i="8"/>
  <c r="BB6" i="8"/>
  <c r="BB7" i="8"/>
  <c r="BB8" i="8"/>
  <c r="BB9" i="8"/>
  <c r="BB10" i="8"/>
  <c r="BB11" i="8"/>
  <c r="BB12" i="8"/>
  <c r="BB13" i="8"/>
  <c r="BB14" i="8"/>
  <c r="BB15" i="8"/>
  <c r="BB16" i="8"/>
  <c r="BB17" i="8"/>
  <c r="BB18" i="8"/>
  <c r="BB19" i="8"/>
  <c r="BB20" i="8"/>
  <c r="BB21" i="8"/>
  <c r="BB22" i="8"/>
  <c r="BB3" i="8"/>
  <c r="BB23" i="8" s="1"/>
  <c r="BC4" i="8"/>
  <c r="BC5" i="8"/>
  <c r="BC6" i="8"/>
  <c r="BC7" i="8"/>
  <c r="BC8" i="8"/>
  <c r="BC9" i="8"/>
  <c r="BC10" i="8"/>
  <c r="BC11" i="8"/>
  <c r="BC12" i="8"/>
  <c r="BC13" i="8"/>
  <c r="BC14" i="8"/>
  <c r="BC15" i="8"/>
  <c r="BC16" i="8"/>
  <c r="BC17" i="8"/>
  <c r="BC18" i="8"/>
  <c r="BC19" i="8"/>
  <c r="BC20" i="8"/>
  <c r="BC21" i="8"/>
  <c r="BC22" i="8"/>
  <c r="BC3" i="8"/>
  <c r="BA4" i="8"/>
  <c r="BA5" i="8"/>
  <c r="BA6" i="8"/>
  <c r="BA7" i="8"/>
  <c r="BA8" i="8"/>
  <c r="BA9" i="8"/>
  <c r="BA10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3" i="8"/>
  <c r="BC23" i="8"/>
  <c r="BC25" i="8" s="1"/>
  <c r="BA23" i="8"/>
  <c r="L6" i="7"/>
  <c r="L7" i="7"/>
  <c r="L8" i="7"/>
  <c r="L9" i="7"/>
  <c r="L10" i="7"/>
  <c r="L11" i="7"/>
  <c r="L12" i="7"/>
  <c r="L13" i="7"/>
  <c r="L14" i="7"/>
  <c r="L15" i="7"/>
  <c r="L16" i="7"/>
  <c r="L17" i="7"/>
  <c r="L4" i="7"/>
  <c r="L20" i="7"/>
  <c r="L5" i="7"/>
  <c r="P6" i="14"/>
  <c r="Q6" i="14" s="1"/>
  <c r="R6" i="14" s="1"/>
  <c r="S6" i="14" s="1"/>
  <c r="T6" i="14" s="1"/>
  <c r="H6" i="14"/>
  <c r="P5" i="14"/>
  <c r="Q5" i="14" s="1"/>
  <c r="R5" i="14" s="1"/>
  <c r="S5" i="14" s="1"/>
  <c r="T5" i="14" s="1"/>
  <c r="H5" i="14"/>
  <c r="H4" i="14"/>
  <c r="H3" i="14"/>
  <c r="H2" i="14"/>
  <c r="F1" i="14"/>
  <c r="H1" i="14" s="1"/>
  <c r="AZ4" i="8"/>
  <c r="AZ5" i="8"/>
  <c r="AZ6" i="8"/>
  <c r="AZ7" i="8"/>
  <c r="AZ8" i="8"/>
  <c r="AZ9" i="8"/>
  <c r="AZ10" i="8"/>
  <c r="AZ11" i="8"/>
  <c r="AZ12" i="8"/>
  <c r="AZ13" i="8"/>
  <c r="AZ14" i="8"/>
  <c r="AZ15" i="8"/>
  <c r="AZ16" i="8"/>
  <c r="AZ17" i="8"/>
  <c r="AZ18" i="8"/>
  <c r="AZ19" i="8"/>
  <c r="AZ20" i="8"/>
  <c r="AZ21" i="8"/>
  <c r="AZ22" i="8"/>
  <c r="AZ3" i="8"/>
  <c r="AY4" i="8"/>
  <c r="AY5" i="8"/>
  <c r="AY6" i="8"/>
  <c r="AY7" i="8"/>
  <c r="AY8" i="8"/>
  <c r="AY9" i="8"/>
  <c r="AY10" i="8"/>
  <c r="AY11" i="8"/>
  <c r="AY12" i="8"/>
  <c r="AY13" i="8"/>
  <c r="AY14" i="8"/>
  <c r="AY15" i="8"/>
  <c r="AY16" i="8"/>
  <c r="AY17" i="8"/>
  <c r="AY18" i="8"/>
  <c r="AY19" i="8"/>
  <c r="AY20" i="8"/>
  <c r="AY21" i="8"/>
  <c r="AY22" i="8"/>
  <c r="AY3" i="8"/>
  <c r="AX4" i="8"/>
  <c r="AX5" i="8"/>
  <c r="AX6" i="8"/>
  <c r="AX7" i="8"/>
  <c r="AX8" i="8"/>
  <c r="AX9" i="8"/>
  <c r="AX10" i="8"/>
  <c r="AX11" i="8"/>
  <c r="AX12" i="8"/>
  <c r="AX13" i="8"/>
  <c r="AX14" i="8"/>
  <c r="AX15" i="8"/>
  <c r="AX16" i="8"/>
  <c r="AX17" i="8"/>
  <c r="AX18" i="8"/>
  <c r="AX19" i="8"/>
  <c r="AX20" i="8"/>
  <c r="AX21" i="8"/>
  <c r="AX22" i="8"/>
  <c r="AX3" i="8"/>
  <c r="AZ23" i="8"/>
  <c r="AY23" i="8"/>
  <c r="AX23" i="8"/>
  <c r="AW22" i="8"/>
  <c r="AU22" i="8"/>
  <c r="H48" i="5"/>
  <c r="I33" i="7"/>
  <c r="I68" i="7"/>
  <c r="I50" i="7"/>
  <c r="I67" i="7"/>
  <c r="I51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AW4" i="8"/>
  <c r="AW5" i="8"/>
  <c r="AW6" i="8"/>
  <c r="AW7" i="8"/>
  <c r="AW8" i="8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3" i="8"/>
  <c r="AW23" i="8" s="1"/>
  <c r="AU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3" i="8"/>
  <c r="AU23" i="8" s="1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V6" i="8"/>
  <c r="AV5" i="8"/>
  <c r="AV4" i="8"/>
  <c r="AV3" i="8"/>
  <c r="AV23" i="8" s="1"/>
  <c r="H14" i="9"/>
  <c r="H15" i="9"/>
  <c r="H16" i="9"/>
  <c r="H18" i="9"/>
  <c r="I16" i="9"/>
  <c r="I14" i="9"/>
  <c r="G16" i="9"/>
  <c r="G14" i="9"/>
  <c r="I7" i="9"/>
  <c r="L7" i="9" s="1"/>
  <c r="Q5" i="7"/>
  <c r="AT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3" i="8"/>
  <c r="AT23" i="8" s="1"/>
  <c r="AS4" i="8"/>
  <c r="AS5" i="8"/>
  <c r="AS6" i="8"/>
  <c r="AS7" i="8"/>
  <c r="AS8" i="8"/>
  <c r="AS9" i="8"/>
  <c r="AS10" i="8"/>
  <c r="AS11" i="8"/>
  <c r="AS12" i="8"/>
  <c r="AS13" i="8"/>
  <c r="AS14" i="8"/>
  <c r="AS15" i="8"/>
  <c r="AS16" i="8"/>
  <c r="AS17" i="8"/>
  <c r="AS18" i="8"/>
  <c r="AS19" i="8"/>
  <c r="AS20" i="8"/>
  <c r="AS21" i="8"/>
  <c r="AS3" i="8"/>
  <c r="AS23" i="8" s="1"/>
  <c r="AR4" i="8"/>
  <c r="AR5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3" i="8"/>
  <c r="AR23" i="8" s="1"/>
  <c r="AQ4" i="8"/>
  <c r="AQ5" i="8"/>
  <c r="AQ6" i="8"/>
  <c r="AQ7" i="8"/>
  <c r="AQ8" i="8"/>
  <c r="AQ9" i="8"/>
  <c r="AQ10" i="8"/>
  <c r="AQ11" i="8"/>
  <c r="AQ12" i="8"/>
  <c r="AQ13" i="8"/>
  <c r="AQ14" i="8"/>
  <c r="AQ15" i="8"/>
  <c r="AQ16" i="8"/>
  <c r="AQ17" i="8"/>
  <c r="AQ18" i="8"/>
  <c r="AQ19" i="8"/>
  <c r="AQ20" i="8"/>
  <c r="AQ21" i="8"/>
  <c r="AQ3" i="8"/>
  <c r="AP4" i="8"/>
  <c r="AP5" i="8"/>
  <c r="AP6" i="8"/>
  <c r="AP7" i="8"/>
  <c r="AP8" i="8"/>
  <c r="AP9" i="8"/>
  <c r="AP10" i="8"/>
  <c r="AP11" i="8"/>
  <c r="AP12" i="8"/>
  <c r="AP13" i="8"/>
  <c r="AP14" i="8"/>
  <c r="AP15" i="8"/>
  <c r="AP16" i="8"/>
  <c r="AP17" i="8"/>
  <c r="AP18" i="8"/>
  <c r="AP19" i="8"/>
  <c r="AP20" i="8"/>
  <c r="AP21" i="8"/>
  <c r="AP3" i="8"/>
  <c r="AO4" i="8"/>
  <c r="AO5" i="8"/>
  <c r="AO6" i="8"/>
  <c r="AO7" i="8"/>
  <c r="AO8" i="8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3" i="8"/>
  <c r="I3" i="7"/>
  <c r="I39" i="7"/>
  <c r="I40" i="7"/>
  <c r="I41" i="7"/>
  <c r="I42" i="7"/>
  <c r="I43" i="7"/>
  <c r="I44" i="7"/>
  <c r="I45" i="7"/>
  <c r="I47" i="7"/>
  <c r="I48" i="7"/>
  <c r="I49" i="7"/>
  <c r="I35" i="7"/>
  <c r="I36" i="7"/>
  <c r="I38" i="7"/>
  <c r="I37" i="7"/>
  <c r="E23" i="5"/>
  <c r="D21" i="5"/>
  <c r="D20" i="5"/>
  <c r="D28" i="5"/>
  <c r="D29" i="5"/>
  <c r="I24" i="7"/>
  <c r="I25" i="7"/>
  <c r="I26" i="7"/>
  <c r="I27" i="7"/>
  <c r="I28" i="7"/>
  <c r="I30" i="7"/>
  <c r="I31" i="7"/>
  <c r="I21" i="7"/>
  <c r="I23" i="7"/>
  <c r="I32" i="7"/>
  <c r="I22" i="7"/>
  <c r="I6" i="7"/>
  <c r="I7" i="7"/>
  <c r="I8" i="7"/>
  <c r="I10" i="7"/>
  <c r="I11" i="7"/>
  <c r="I12" i="7"/>
  <c r="I13" i="7"/>
  <c r="I14" i="7"/>
  <c r="I15" i="7"/>
  <c r="I16" i="7"/>
  <c r="I17" i="7"/>
  <c r="I4" i="7"/>
  <c r="I20" i="7"/>
  <c r="I18" i="7"/>
  <c r="I19" i="7"/>
  <c r="I5" i="7"/>
  <c r="AN14" i="8"/>
  <c r="AN5" i="8"/>
  <c r="AL14" i="8"/>
  <c r="AL12" i="8"/>
  <c r="AL7" i="8"/>
  <c r="AL6" i="8"/>
  <c r="AL5" i="8"/>
  <c r="AL18" i="8"/>
  <c r="AM17" i="8"/>
  <c r="AL17" i="8"/>
  <c r="AN16" i="8"/>
  <c r="AM16" i="8"/>
  <c r="AL16" i="8"/>
  <c r="AN11" i="8"/>
  <c r="AL11" i="8"/>
  <c r="AL10" i="8"/>
  <c r="AN9" i="8"/>
  <c r="AL9" i="8"/>
  <c r="AN8" i="8"/>
  <c r="AM8" i="8"/>
  <c r="AL8" i="8"/>
  <c r="AM15" i="8"/>
  <c r="AL15" i="8"/>
  <c r="AM21" i="8"/>
  <c r="AL21" i="8"/>
  <c r="AN7" i="8"/>
  <c r="AN20" i="8"/>
  <c r="AM20" i="8"/>
  <c r="AL20" i="8"/>
  <c r="AN19" i="8"/>
  <c r="AM19" i="8"/>
  <c r="AM6" i="8"/>
  <c r="AM5" i="8"/>
  <c r="AN4" i="8"/>
  <c r="AM4" i="8"/>
  <c r="AL4" i="8"/>
  <c r="AN3" i="8"/>
  <c r="AM3" i="8"/>
  <c r="AL3" i="8"/>
  <c r="D2" i="5"/>
  <c r="AK14" i="8"/>
  <c r="AI14" i="8"/>
  <c r="AK13" i="8"/>
  <c r="AI13" i="8"/>
  <c r="AJ7" i="8"/>
  <c r="AI7" i="8"/>
  <c r="AK6" i="8"/>
  <c r="AK5" i="8"/>
  <c r="AI18" i="8"/>
  <c r="AJ17" i="8"/>
  <c r="AI17" i="8"/>
  <c r="AK16" i="8"/>
  <c r="AJ16" i="8"/>
  <c r="AI16" i="8"/>
  <c r="AI12" i="8"/>
  <c r="AK11" i="8"/>
  <c r="AI11" i="8"/>
  <c r="AI10" i="8"/>
  <c r="AK9" i="8"/>
  <c r="AI9" i="8"/>
  <c r="AK8" i="8"/>
  <c r="AJ8" i="8"/>
  <c r="AI8" i="8"/>
  <c r="AJ15" i="8"/>
  <c r="AI15" i="8"/>
  <c r="AJ21" i="8"/>
  <c r="AI21" i="8"/>
  <c r="AK7" i="8"/>
  <c r="AK20" i="8"/>
  <c r="AJ20" i="8"/>
  <c r="AI20" i="8"/>
  <c r="AK19" i="8"/>
  <c r="AJ19" i="8"/>
  <c r="AJ6" i="8"/>
  <c r="AI6" i="8"/>
  <c r="AJ5" i="8"/>
  <c r="AI5" i="8"/>
  <c r="AK4" i="8"/>
  <c r="AJ4" i="8"/>
  <c r="AI4" i="8"/>
  <c r="AK3" i="8"/>
  <c r="AJ3" i="8"/>
  <c r="AI3" i="8"/>
  <c r="D33" i="5"/>
  <c r="D34" i="5"/>
  <c r="D31" i="5"/>
  <c r="D32" i="5"/>
  <c r="D26" i="5"/>
  <c r="D37" i="5"/>
  <c r="D3" i="5"/>
  <c r="D4" i="5"/>
  <c r="D5" i="5"/>
  <c r="D9" i="5"/>
  <c r="D10" i="5"/>
  <c r="D11" i="5"/>
  <c r="D12" i="5"/>
  <c r="D13" i="5"/>
  <c r="D15" i="5"/>
  <c r="D16" i="5"/>
  <c r="D17" i="5"/>
  <c r="D18" i="5"/>
  <c r="D19" i="5"/>
  <c r="BO5" i="11"/>
  <c r="BO11" i="11"/>
  <c r="BO14" i="11"/>
  <c r="BO12" i="11"/>
  <c r="BO13" i="11"/>
  <c r="BO7" i="11"/>
  <c r="BO8" i="11"/>
  <c r="BO9" i="11"/>
  <c r="BO10" i="11"/>
  <c r="BO2" i="11"/>
  <c r="BO3" i="11"/>
  <c r="BO6" i="11"/>
  <c r="BO18" i="11"/>
  <c r="BO19" i="11"/>
  <c r="BO17" i="11"/>
  <c r="BO4" i="11"/>
  <c r="AK5" i="11"/>
  <c r="AK11" i="11"/>
  <c r="AK14" i="11"/>
  <c r="AK12" i="11"/>
  <c r="AK13" i="11"/>
  <c r="AK7" i="11"/>
  <c r="AK8" i="11"/>
  <c r="AK9" i="11"/>
  <c r="AK10" i="11"/>
  <c r="AK2" i="11"/>
  <c r="AK3" i="11"/>
  <c r="AK6" i="11"/>
  <c r="AK18" i="11"/>
  <c r="AK19" i="11"/>
  <c r="AK15" i="11"/>
  <c r="AK16" i="11"/>
  <c r="AK17" i="11"/>
  <c r="AK4" i="11"/>
  <c r="AK20" i="11" s="1"/>
  <c r="F5" i="11"/>
  <c r="D5" i="11" s="1"/>
  <c r="F11" i="11"/>
  <c r="F14" i="11"/>
  <c r="F12" i="11"/>
  <c r="F13" i="11"/>
  <c r="D13" i="11" s="1"/>
  <c r="F7" i="11"/>
  <c r="D7" i="11" s="1"/>
  <c r="F8" i="11"/>
  <c r="D8" i="11" s="1"/>
  <c r="F9" i="11"/>
  <c r="F10" i="11"/>
  <c r="D10" i="11" s="1"/>
  <c r="F2" i="11"/>
  <c r="F3" i="11"/>
  <c r="F6" i="11"/>
  <c r="F18" i="11"/>
  <c r="D18" i="11" s="1"/>
  <c r="F19" i="11"/>
  <c r="D19" i="11" s="1"/>
  <c r="F15" i="11"/>
  <c r="D15" i="11" s="1"/>
  <c r="F16" i="11"/>
  <c r="D16" i="11" s="1"/>
  <c r="F17" i="11"/>
  <c r="D17" i="11" s="1"/>
  <c r="F4" i="11"/>
  <c r="D8" i="5"/>
  <c r="G23" i="5"/>
  <c r="P1" i="5"/>
  <c r="I13" i="9"/>
  <c r="AK2" i="12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BM18" i="12"/>
  <c r="AK18" i="12"/>
  <c r="BM17" i="12"/>
  <c r="AK17" i="12"/>
  <c r="BM16" i="12"/>
  <c r="AK16" i="12"/>
  <c r="BM15" i="12"/>
  <c r="AK15" i="12"/>
  <c r="BM14" i="12"/>
  <c r="AK14" i="12"/>
  <c r="BM13" i="12"/>
  <c r="AK13" i="12"/>
  <c r="BM12" i="12"/>
  <c r="AK12" i="12"/>
  <c r="BM11" i="12"/>
  <c r="AK11" i="12"/>
  <c r="BM10" i="12"/>
  <c r="AK10" i="12"/>
  <c r="BM9" i="12"/>
  <c r="AK9" i="12"/>
  <c r="BM8" i="12"/>
  <c r="AK8" i="12"/>
  <c r="BM7" i="12"/>
  <c r="AK7" i="12"/>
  <c r="BM6" i="12"/>
  <c r="AK6" i="12"/>
  <c r="BM5" i="12"/>
  <c r="AK5" i="12"/>
  <c r="BM4" i="12"/>
  <c r="AK4" i="12"/>
  <c r="D4" i="12" s="1"/>
  <c r="D24" i="12" s="1"/>
  <c r="BM3" i="12"/>
  <c r="AK3" i="12"/>
  <c r="BM2" i="12"/>
  <c r="I21" i="9"/>
  <c r="L21" i="9" s="1"/>
  <c r="L5" i="9"/>
  <c r="L2" i="9"/>
  <c r="I11" i="9"/>
  <c r="L11" i="9" s="1"/>
  <c r="I3" i="9"/>
  <c r="I4" i="9"/>
  <c r="L4" i="9" s="1"/>
  <c r="I17" i="9"/>
  <c r="L17" i="9" s="1"/>
  <c r="I15" i="9"/>
  <c r="L15" i="9" s="1"/>
  <c r="I6" i="9"/>
  <c r="I12" i="9"/>
  <c r="L12" i="9" s="1"/>
  <c r="I18" i="9"/>
  <c r="L18" i="9" s="1"/>
  <c r="I8" i="9"/>
  <c r="L8" i="9" s="1"/>
  <c r="I10" i="9"/>
  <c r="L10" i="9" s="1"/>
  <c r="I19" i="9"/>
  <c r="L19" i="9" s="1"/>
  <c r="L20" i="9"/>
  <c r="AH14" i="8"/>
  <c r="AF18" i="8"/>
  <c r="AG17" i="8"/>
  <c r="AF17" i="8"/>
  <c r="AH16" i="8"/>
  <c r="AG16" i="8"/>
  <c r="AF16" i="8"/>
  <c r="AF12" i="8"/>
  <c r="AH11" i="8"/>
  <c r="AF11" i="8"/>
  <c r="AF10" i="8"/>
  <c r="AH9" i="8"/>
  <c r="AF9" i="8"/>
  <c r="AH8" i="8"/>
  <c r="AG8" i="8"/>
  <c r="AF8" i="8"/>
  <c r="AG15" i="8"/>
  <c r="AF15" i="8"/>
  <c r="AG21" i="8"/>
  <c r="AF21" i="8"/>
  <c r="AF13" i="8"/>
  <c r="AH7" i="8"/>
  <c r="AF7" i="8"/>
  <c r="AH20" i="8"/>
  <c r="AG20" i="8"/>
  <c r="AF20" i="8"/>
  <c r="AH19" i="8"/>
  <c r="AG19" i="8"/>
  <c r="AH6" i="8"/>
  <c r="AG6" i="8"/>
  <c r="AF6" i="8"/>
  <c r="AH5" i="8"/>
  <c r="AG5" i="8"/>
  <c r="AF5" i="8"/>
  <c r="AH4" i="8"/>
  <c r="AG4" i="8"/>
  <c r="AF4" i="8"/>
  <c r="AH3" i="8"/>
  <c r="AG3" i="8"/>
  <c r="AF3" i="8"/>
  <c r="AE14" i="8"/>
  <c r="AE13" i="8"/>
  <c r="AE19" i="8"/>
  <c r="AE20" i="8"/>
  <c r="AC10" i="8"/>
  <c r="AC20" i="8"/>
  <c r="AC14" i="8"/>
  <c r="AC13" i="8"/>
  <c r="AC18" i="8"/>
  <c r="AD17" i="8"/>
  <c r="AC17" i="8"/>
  <c r="AE16" i="8"/>
  <c r="AD16" i="8"/>
  <c r="AC16" i="8"/>
  <c r="AC12" i="8"/>
  <c r="AE11" i="8"/>
  <c r="AC11" i="8"/>
  <c r="AE9" i="8"/>
  <c r="AC9" i="8"/>
  <c r="AE8" i="8"/>
  <c r="AD8" i="8"/>
  <c r="AC8" i="8"/>
  <c r="AD15" i="8"/>
  <c r="AC15" i="8"/>
  <c r="AD21" i="8"/>
  <c r="AC21" i="8"/>
  <c r="AE7" i="8"/>
  <c r="AC7" i="8"/>
  <c r="AD20" i="8"/>
  <c r="AD19" i="8"/>
  <c r="AE6" i="8"/>
  <c r="AD6" i="8"/>
  <c r="AC6" i="8"/>
  <c r="AE5" i="8"/>
  <c r="AD5" i="8"/>
  <c r="AC5" i="8"/>
  <c r="AE4" i="8"/>
  <c r="AD4" i="8"/>
  <c r="AC4" i="8"/>
  <c r="AE3" i="8"/>
  <c r="AD3" i="8"/>
  <c r="AC3" i="8"/>
  <c r="AB10" i="8"/>
  <c r="AB20" i="8"/>
  <c r="AB19" i="8"/>
  <c r="Z20" i="8"/>
  <c r="Z19" i="8"/>
  <c r="Z4" i="8"/>
  <c r="Z5" i="8"/>
  <c r="Z6" i="8"/>
  <c r="Z3" i="8"/>
  <c r="Z10" i="8"/>
  <c r="Z18" i="8"/>
  <c r="AA17" i="8"/>
  <c r="Z17" i="8"/>
  <c r="AB16" i="8"/>
  <c r="AA16" i="8"/>
  <c r="Z16" i="8"/>
  <c r="Z12" i="8"/>
  <c r="AB11" i="8"/>
  <c r="Z11" i="8"/>
  <c r="AB9" i="8"/>
  <c r="Z9" i="8"/>
  <c r="AB8" i="8"/>
  <c r="AA8" i="8"/>
  <c r="Z8" i="8"/>
  <c r="AA15" i="8"/>
  <c r="Z15" i="8"/>
  <c r="AA21" i="8"/>
  <c r="Z21" i="8"/>
  <c r="Z14" i="8"/>
  <c r="Z13" i="8"/>
  <c r="AB7" i="8"/>
  <c r="Z7" i="8"/>
  <c r="AA20" i="8"/>
  <c r="AA19" i="8"/>
  <c r="AB6" i="8"/>
  <c r="AA6" i="8"/>
  <c r="AB5" i="8"/>
  <c r="AA5" i="8"/>
  <c r="AB4" i="8"/>
  <c r="AA4" i="8"/>
  <c r="AB3" i="8"/>
  <c r="AA3" i="8"/>
  <c r="D12" i="2"/>
  <c r="C12" i="2" s="1"/>
  <c r="J1" i="5"/>
  <c r="K1" i="5" s="1"/>
  <c r="V17" i="8"/>
  <c r="V18" i="8"/>
  <c r="Y4" i="8"/>
  <c r="Y5" i="8"/>
  <c r="Y6" i="8"/>
  <c r="Y19" i="8"/>
  <c r="Y20" i="8"/>
  <c r="Y7" i="8"/>
  <c r="Y13" i="8"/>
  <c r="Y14" i="8"/>
  <c r="Y15" i="8"/>
  <c r="Y8" i="8"/>
  <c r="Y9" i="8"/>
  <c r="Y10" i="8"/>
  <c r="Y11" i="8"/>
  <c r="Y12" i="8"/>
  <c r="Y16" i="8"/>
  <c r="Y17" i="8"/>
  <c r="Y18" i="8"/>
  <c r="Y3" i="8"/>
  <c r="X4" i="8"/>
  <c r="X5" i="8"/>
  <c r="X6" i="8"/>
  <c r="X19" i="8"/>
  <c r="X20" i="8"/>
  <c r="X7" i="8"/>
  <c r="X13" i="8"/>
  <c r="X14" i="8"/>
  <c r="X15" i="8"/>
  <c r="X8" i="8"/>
  <c r="X9" i="8"/>
  <c r="X10" i="8"/>
  <c r="X11" i="8"/>
  <c r="X12" i="8"/>
  <c r="X16" i="8"/>
  <c r="X17" i="8"/>
  <c r="X18" i="8"/>
  <c r="X3" i="8"/>
  <c r="W4" i="8"/>
  <c r="W5" i="8"/>
  <c r="W6" i="8"/>
  <c r="W19" i="8"/>
  <c r="W20" i="8"/>
  <c r="W7" i="8"/>
  <c r="W13" i="8"/>
  <c r="W14" i="8"/>
  <c r="W21" i="8"/>
  <c r="W15" i="8"/>
  <c r="W8" i="8"/>
  <c r="W9" i="8"/>
  <c r="W10" i="8"/>
  <c r="W11" i="8"/>
  <c r="W12" i="8"/>
  <c r="W16" i="8"/>
  <c r="W17" i="8"/>
  <c r="W18" i="8"/>
  <c r="W23" i="8"/>
  <c r="W3" i="8"/>
  <c r="Q15" i="7"/>
  <c r="R15" i="7" s="1"/>
  <c r="S15" i="7" s="1"/>
  <c r="T15" i="7" s="1"/>
  <c r="U15" i="7" s="1"/>
  <c r="Q16" i="7"/>
  <c r="R16" i="7" s="1"/>
  <c r="S16" i="7" s="1"/>
  <c r="T16" i="7" s="1"/>
  <c r="U16" i="7" s="1"/>
  <c r="Q14" i="7"/>
  <c r="R14" i="7" s="1"/>
  <c r="S14" i="7" s="1"/>
  <c r="T14" i="7" s="1"/>
  <c r="U14" i="7" s="1"/>
  <c r="R5" i="7"/>
  <c r="S5" i="7" s="1"/>
  <c r="T5" i="7" s="1"/>
  <c r="U5" i="7" s="1"/>
  <c r="Q6" i="7"/>
  <c r="R6" i="7" s="1"/>
  <c r="S6" i="7" s="1"/>
  <c r="T6" i="7" s="1"/>
  <c r="U6" i="7" s="1"/>
  <c r="Q7" i="7"/>
  <c r="R7" i="7" s="1"/>
  <c r="S7" i="7" s="1"/>
  <c r="T7" i="7" s="1"/>
  <c r="U7" i="7" s="1"/>
  <c r="Q8" i="7"/>
  <c r="R8" i="7" s="1"/>
  <c r="S8" i="7" s="1"/>
  <c r="T8" i="7" s="1"/>
  <c r="U8" i="7" s="1"/>
  <c r="Q10" i="7"/>
  <c r="R10" i="7" s="1"/>
  <c r="S10" i="7" s="1"/>
  <c r="T10" i="7" s="1"/>
  <c r="U10" i="7" s="1"/>
  <c r="Q11" i="7"/>
  <c r="R11" i="7" s="1"/>
  <c r="S11" i="7" s="1"/>
  <c r="T11" i="7" s="1"/>
  <c r="U11" i="7" s="1"/>
  <c r="Q12" i="7"/>
  <c r="R12" i="7" s="1"/>
  <c r="S12" i="7" s="1"/>
  <c r="T12" i="7" s="1"/>
  <c r="U12" i="7" s="1"/>
  <c r="Q13" i="7"/>
  <c r="R13" i="7" s="1"/>
  <c r="S13" i="7" s="1"/>
  <c r="T13" i="7" s="1"/>
  <c r="U13" i="7" s="1"/>
  <c r="Q9" i="7"/>
  <c r="R9" i="7" s="1"/>
  <c r="S9" i="7" s="1"/>
  <c r="T9" i="7" s="1"/>
  <c r="U9" i="7" s="1"/>
  <c r="Q17" i="7"/>
  <c r="R17" i="7" s="1"/>
  <c r="D41" i="5"/>
  <c r="V4" i="8"/>
  <c r="V5" i="8"/>
  <c r="V6" i="8"/>
  <c r="V19" i="8"/>
  <c r="V20" i="8"/>
  <c r="V7" i="8"/>
  <c r="V13" i="8"/>
  <c r="V14" i="8"/>
  <c r="V21" i="8"/>
  <c r="V15" i="8"/>
  <c r="V8" i="8"/>
  <c r="V9" i="8"/>
  <c r="V10" i="8"/>
  <c r="V11" i="8"/>
  <c r="V12" i="8"/>
  <c r="V16" i="8"/>
  <c r="V3" i="8"/>
  <c r="U4" i="8"/>
  <c r="U5" i="8"/>
  <c r="U6" i="8"/>
  <c r="U19" i="8"/>
  <c r="U20" i="8"/>
  <c r="U7" i="8"/>
  <c r="U13" i="8"/>
  <c r="U14" i="8"/>
  <c r="U21" i="8"/>
  <c r="U15" i="8"/>
  <c r="U8" i="8"/>
  <c r="U9" i="8"/>
  <c r="U10" i="8"/>
  <c r="U11" i="8"/>
  <c r="U12" i="8"/>
  <c r="U16" i="8"/>
  <c r="U17" i="8"/>
  <c r="U18" i="8"/>
  <c r="U3" i="8"/>
  <c r="T4" i="8"/>
  <c r="T5" i="8"/>
  <c r="T6" i="8"/>
  <c r="T19" i="8"/>
  <c r="T20" i="8"/>
  <c r="T7" i="8"/>
  <c r="T13" i="8"/>
  <c r="T14" i="8"/>
  <c r="T21" i="8"/>
  <c r="T15" i="8"/>
  <c r="T8" i="8"/>
  <c r="T9" i="8"/>
  <c r="T10" i="8"/>
  <c r="T11" i="8"/>
  <c r="T12" i="8"/>
  <c r="T16" i="8"/>
  <c r="T17" i="8"/>
  <c r="T18" i="8"/>
  <c r="T3" i="8"/>
  <c r="S4" i="8"/>
  <c r="S5" i="8"/>
  <c r="S6" i="8"/>
  <c r="S19" i="8"/>
  <c r="S20" i="8"/>
  <c r="S7" i="8"/>
  <c r="S13" i="8"/>
  <c r="S14" i="8"/>
  <c r="S21" i="8"/>
  <c r="S15" i="8"/>
  <c r="S8" i="8"/>
  <c r="S9" i="8"/>
  <c r="S10" i="8"/>
  <c r="S11" i="8"/>
  <c r="S12" i="8"/>
  <c r="S16" i="8"/>
  <c r="S17" i="8"/>
  <c r="S18" i="8"/>
  <c r="R4" i="8"/>
  <c r="R5" i="8"/>
  <c r="R6" i="8"/>
  <c r="R19" i="8"/>
  <c r="R20" i="8"/>
  <c r="R7" i="8"/>
  <c r="R13" i="8"/>
  <c r="R14" i="8"/>
  <c r="R21" i="8"/>
  <c r="R15" i="8"/>
  <c r="R8" i="8"/>
  <c r="R9" i="8"/>
  <c r="R10" i="8"/>
  <c r="R11" i="8"/>
  <c r="R12" i="8"/>
  <c r="R16" i="8"/>
  <c r="R17" i="8"/>
  <c r="R18" i="8"/>
  <c r="S3" i="8"/>
  <c r="R3" i="8"/>
  <c r="Q4" i="8"/>
  <c r="Q5" i="8"/>
  <c r="Q6" i="8"/>
  <c r="Q19" i="8"/>
  <c r="Q20" i="8"/>
  <c r="Q7" i="8"/>
  <c r="Q13" i="8"/>
  <c r="Q14" i="8"/>
  <c r="Q21" i="8"/>
  <c r="Q15" i="8"/>
  <c r="Q8" i="8"/>
  <c r="Q9" i="8"/>
  <c r="Q10" i="8"/>
  <c r="Q11" i="8"/>
  <c r="Q12" i="8"/>
  <c r="Q16" i="8"/>
  <c r="Q17" i="8"/>
  <c r="Q18" i="8"/>
  <c r="Q3" i="8"/>
  <c r="C4" i="8"/>
  <c r="C6" i="8"/>
  <c r="C19" i="8"/>
  <c r="C20" i="8"/>
  <c r="C7" i="8"/>
  <c r="C13" i="8"/>
  <c r="C14" i="8"/>
  <c r="C21" i="8"/>
  <c r="C15" i="8"/>
  <c r="C8" i="8"/>
  <c r="C9" i="8"/>
  <c r="C10" i="8"/>
  <c r="C11" i="8"/>
  <c r="C12" i="8"/>
  <c r="C16" i="8"/>
  <c r="C17" i="8"/>
  <c r="C18" i="8"/>
  <c r="C3" i="8"/>
  <c r="F4" i="8"/>
  <c r="F5" i="8"/>
  <c r="F6" i="8"/>
  <c r="F19" i="8"/>
  <c r="F20" i="8"/>
  <c r="F7" i="8"/>
  <c r="F13" i="8"/>
  <c r="F14" i="8"/>
  <c r="F15" i="8"/>
  <c r="F8" i="8"/>
  <c r="F9" i="8"/>
  <c r="F10" i="8"/>
  <c r="F11" i="8"/>
  <c r="F12" i="8"/>
  <c r="F16" i="8"/>
  <c r="F17" i="8"/>
  <c r="F18" i="8"/>
  <c r="F3" i="8"/>
  <c r="I4" i="8"/>
  <c r="I5" i="8"/>
  <c r="I6" i="8"/>
  <c r="I19" i="8"/>
  <c r="I20" i="8"/>
  <c r="I7" i="8"/>
  <c r="I13" i="8"/>
  <c r="I14" i="8"/>
  <c r="I21" i="8"/>
  <c r="I15" i="8"/>
  <c r="I8" i="8"/>
  <c r="I9" i="8"/>
  <c r="I10" i="8"/>
  <c r="I11" i="8"/>
  <c r="I12" i="8"/>
  <c r="I16" i="8"/>
  <c r="I17" i="8"/>
  <c r="I18" i="8"/>
  <c r="I3" i="8"/>
  <c r="L4" i="8"/>
  <c r="L5" i="8"/>
  <c r="L6" i="8"/>
  <c r="L19" i="8"/>
  <c r="L20" i="8"/>
  <c r="L7" i="8"/>
  <c r="L13" i="8"/>
  <c r="L14" i="8"/>
  <c r="L21" i="8"/>
  <c r="L15" i="8"/>
  <c r="L8" i="8"/>
  <c r="L9" i="8"/>
  <c r="L10" i="8"/>
  <c r="L11" i="8"/>
  <c r="L12" i="8"/>
  <c r="L16" i="8"/>
  <c r="L17" i="8"/>
  <c r="L18" i="8"/>
  <c r="L3" i="8"/>
  <c r="O4" i="8"/>
  <c r="O6" i="8"/>
  <c r="O19" i="8"/>
  <c r="O20" i="8"/>
  <c r="O7" i="8"/>
  <c r="O21" i="8"/>
  <c r="O15" i="8"/>
  <c r="O8" i="8"/>
  <c r="O9" i="8"/>
  <c r="O11" i="8"/>
  <c r="O12" i="8"/>
  <c r="O16" i="8"/>
  <c r="O17" i="8"/>
  <c r="O18" i="8"/>
  <c r="O3" i="8"/>
  <c r="P4" i="8"/>
  <c r="P5" i="8"/>
  <c r="P6" i="8"/>
  <c r="P19" i="8"/>
  <c r="P20" i="8"/>
  <c r="P7" i="8"/>
  <c r="P13" i="8"/>
  <c r="P14" i="8"/>
  <c r="P21" i="8"/>
  <c r="P15" i="8"/>
  <c r="P8" i="8"/>
  <c r="P9" i="8"/>
  <c r="P10" i="8"/>
  <c r="P11" i="8"/>
  <c r="P12" i="8"/>
  <c r="P16" i="8"/>
  <c r="P17" i="8"/>
  <c r="P18" i="8"/>
  <c r="P3" i="8"/>
  <c r="N4" i="8"/>
  <c r="N5" i="8"/>
  <c r="N6" i="8"/>
  <c r="N19" i="8"/>
  <c r="N20" i="8"/>
  <c r="N7" i="8"/>
  <c r="N13" i="8"/>
  <c r="N14" i="8"/>
  <c r="N21" i="8"/>
  <c r="N15" i="8"/>
  <c r="N8" i="8"/>
  <c r="N9" i="8"/>
  <c r="N10" i="8"/>
  <c r="N11" i="8"/>
  <c r="N12" i="8"/>
  <c r="N16" i="8"/>
  <c r="N17" i="8"/>
  <c r="N18" i="8"/>
  <c r="N3" i="8"/>
  <c r="BF34" i="2"/>
  <c r="O10" i="8" s="1"/>
  <c r="BD29" i="2"/>
  <c r="BC29" i="2"/>
  <c r="O14" i="8" s="1"/>
  <c r="BC28" i="2"/>
  <c r="O13" i="8" s="1"/>
  <c r="BE23" i="2"/>
  <c r="BD23" i="2"/>
  <c r="O5" i="8" s="1"/>
  <c r="M4" i="8"/>
  <c r="M5" i="8"/>
  <c r="M6" i="8"/>
  <c r="M19" i="8"/>
  <c r="M20" i="8"/>
  <c r="M7" i="8"/>
  <c r="M13" i="8"/>
  <c r="M14" i="8"/>
  <c r="M21" i="8"/>
  <c r="M15" i="8"/>
  <c r="M8" i="8"/>
  <c r="M9" i="8"/>
  <c r="M10" i="8"/>
  <c r="M11" i="8"/>
  <c r="M12" i="8"/>
  <c r="M16" i="8"/>
  <c r="M17" i="8"/>
  <c r="M18" i="8"/>
  <c r="M3" i="8"/>
  <c r="D35" i="5"/>
  <c r="D38" i="5"/>
  <c r="D36" i="5"/>
  <c r="D27" i="5"/>
  <c r="D30" i="5"/>
  <c r="D42" i="5"/>
  <c r="D43" i="5"/>
  <c r="D39" i="5"/>
  <c r="D40" i="5"/>
  <c r="F6" i="5"/>
  <c r="F23" i="5" s="1"/>
  <c r="D31" i="2"/>
  <c r="K4" i="8"/>
  <c r="K5" i="8"/>
  <c r="K6" i="8"/>
  <c r="K19" i="8"/>
  <c r="K20" i="8"/>
  <c r="K7" i="8"/>
  <c r="K13" i="8"/>
  <c r="K14" i="8"/>
  <c r="K21" i="8"/>
  <c r="K15" i="8"/>
  <c r="K8" i="8"/>
  <c r="K9" i="8"/>
  <c r="K10" i="8"/>
  <c r="K11" i="8"/>
  <c r="K12" i="8"/>
  <c r="K16" i="8"/>
  <c r="K17" i="8"/>
  <c r="K18" i="8"/>
  <c r="K3" i="8"/>
  <c r="J4" i="8"/>
  <c r="J5" i="8"/>
  <c r="J6" i="8"/>
  <c r="J19" i="8"/>
  <c r="J20" i="8"/>
  <c r="J7" i="8"/>
  <c r="J13" i="8"/>
  <c r="J14" i="8"/>
  <c r="J15" i="8"/>
  <c r="J8" i="8"/>
  <c r="J9" i="8"/>
  <c r="J10" i="8"/>
  <c r="J11" i="8"/>
  <c r="J12" i="8"/>
  <c r="J16" i="8"/>
  <c r="J17" i="8"/>
  <c r="J18" i="8"/>
  <c r="J3" i="8"/>
  <c r="H4" i="8"/>
  <c r="H5" i="8"/>
  <c r="H6" i="8"/>
  <c r="H19" i="8"/>
  <c r="H20" i="8"/>
  <c r="H7" i="8"/>
  <c r="H13" i="8"/>
  <c r="H14" i="8"/>
  <c r="H21" i="8"/>
  <c r="H15" i="8"/>
  <c r="H8" i="8"/>
  <c r="H9" i="8"/>
  <c r="H10" i="8"/>
  <c r="H11" i="8"/>
  <c r="H12" i="8"/>
  <c r="H16" i="8"/>
  <c r="H17" i="8"/>
  <c r="H18" i="8"/>
  <c r="H3" i="8"/>
  <c r="G4" i="8"/>
  <c r="G5" i="8"/>
  <c r="G6" i="8"/>
  <c r="G19" i="8"/>
  <c r="G20" i="8"/>
  <c r="G7" i="8"/>
  <c r="G13" i="8"/>
  <c r="G14" i="8"/>
  <c r="G21" i="8"/>
  <c r="G15" i="8"/>
  <c r="G8" i="8"/>
  <c r="G9" i="8"/>
  <c r="G10" i="8"/>
  <c r="G11" i="8"/>
  <c r="G12" i="8"/>
  <c r="G16" i="8"/>
  <c r="G17" i="8"/>
  <c r="G18" i="8"/>
  <c r="G3" i="8"/>
  <c r="E4" i="8"/>
  <c r="E5" i="8"/>
  <c r="E6" i="8"/>
  <c r="E19" i="8"/>
  <c r="E20" i="8"/>
  <c r="E7" i="8"/>
  <c r="E13" i="8"/>
  <c r="E14" i="8"/>
  <c r="E21" i="8"/>
  <c r="E15" i="8"/>
  <c r="E8" i="8"/>
  <c r="E9" i="8"/>
  <c r="E10" i="8"/>
  <c r="E11" i="8"/>
  <c r="E12" i="8"/>
  <c r="E16" i="8"/>
  <c r="E17" i="8"/>
  <c r="E18" i="8"/>
  <c r="E3" i="8"/>
  <c r="D4" i="8"/>
  <c r="D5" i="8"/>
  <c r="D6" i="8"/>
  <c r="D19" i="8"/>
  <c r="D20" i="8"/>
  <c r="D7" i="8"/>
  <c r="D13" i="8"/>
  <c r="D14" i="8"/>
  <c r="D21" i="8"/>
  <c r="D15" i="8"/>
  <c r="D8" i="8"/>
  <c r="D9" i="8"/>
  <c r="D10" i="8"/>
  <c r="D11" i="8"/>
  <c r="D12" i="8"/>
  <c r="D16" i="8"/>
  <c r="D17" i="8"/>
  <c r="D18" i="8"/>
  <c r="D3" i="8"/>
  <c r="B4" i="8"/>
  <c r="B5" i="8"/>
  <c r="B6" i="8"/>
  <c r="B19" i="8"/>
  <c r="B20" i="8"/>
  <c r="B7" i="8"/>
  <c r="B13" i="8"/>
  <c r="B14" i="8"/>
  <c r="B21" i="8"/>
  <c r="B15" i="8"/>
  <c r="B8" i="8"/>
  <c r="B9" i="8"/>
  <c r="B10" i="8"/>
  <c r="B11" i="8"/>
  <c r="B12" i="8"/>
  <c r="B16" i="8"/>
  <c r="B17" i="8"/>
  <c r="B18" i="8"/>
  <c r="B3" i="8"/>
  <c r="D13" i="2"/>
  <c r="D7" i="2"/>
  <c r="D6" i="2"/>
  <c r="AC23" i="2"/>
  <c r="C5" i="8" s="1"/>
  <c r="D17" i="2"/>
  <c r="S17" i="7"/>
  <c r="T17" i="7" s="1"/>
  <c r="U17" i="7" s="1"/>
  <c r="K9" i="2"/>
  <c r="D55" i="2"/>
  <c r="D46" i="2"/>
  <c r="D48" i="2"/>
  <c r="D47" i="2"/>
  <c r="D45" i="2"/>
  <c r="D44" i="2"/>
  <c r="D36" i="2"/>
  <c r="D33" i="2"/>
  <c r="D32" i="2"/>
  <c r="D27" i="2"/>
  <c r="D29" i="2"/>
  <c r="D28" i="2"/>
  <c r="D26" i="2"/>
  <c r="D25" i="2"/>
  <c r="C16" i="2"/>
  <c r="C4" i="2"/>
  <c r="C11" i="2"/>
  <c r="C18" i="2"/>
  <c r="C19" i="2"/>
  <c r="C15" i="2"/>
  <c r="C5" i="2"/>
  <c r="C2" i="2"/>
  <c r="C3" i="2"/>
  <c r="C20" i="2"/>
  <c r="C17" i="2"/>
  <c r="C14" i="2"/>
  <c r="C13" i="2"/>
  <c r="D8" i="2"/>
  <c r="C8" i="2" s="1"/>
  <c r="D10" i="2"/>
  <c r="C10" i="2" s="1"/>
  <c r="D9" i="2"/>
  <c r="C7" i="2"/>
  <c r="C6" i="2"/>
  <c r="F21" i="6"/>
  <c r="H21" i="6"/>
  <c r="J21" i="6"/>
  <c r="K21" i="6"/>
  <c r="L21" i="6"/>
  <c r="G9" i="6"/>
  <c r="G10" i="6"/>
  <c r="E8" i="6"/>
  <c r="E7" i="6"/>
  <c r="E21" i="6" s="1"/>
  <c r="F25" i="2"/>
  <c r="BJ23" i="8" l="1"/>
  <c r="BR25" i="8"/>
  <c r="Q5" i="15"/>
  <c r="J4" i="15"/>
  <c r="L4" i="15" s="1"/>
  <c r="Q4" i="15" s="1"/>
  <c r="J10" i="15"/>
  <c r="L10" i="15" s="1"/>
  <c r="Q10" i="15" s="1"/>
  <c r="J13" i="15"/>
  <c r="L13" i="15" s="1"/>
  <c r="J12" i="15"/>
  <c r="L12" i="15" s="1"/>
  <c r="Q12" i="15" s="1"/>
  <c r="J18" i="15"/>
  <c r="L18" i="15" s="1"/>
  <c r="Q18" i="15" s="1"/>
  <c r="J17" i="15"/>
  <c r="L17" i="15" s="1"/>
  <c r="Q17" i="15" s="1"/>
  <c r="J11" i="15"/>
  <c r="L11" i="15" s="1"/>
  <c r="Q11" i="15" s="1"/>
  <c r="J8" i="15"/>
  <c r="L8" i="15" s="1"/>
  <c r="Q8" i="15" s="1"/>
  <c r="J20" i="15"/>
  <c r="L20" i="15" s="1"/>
  <c r="J3" i="15"/>
  <c r="L3" i="15" s="1"/>
  <c r="Q3" i="15" s="1"/>
  <c r="J9" i="15"/>
  <c r="L9" i="15" s="1"/>
  <c r="Q9" i="15" s="1"/>
  <c r="J6" i="15"/>
  <c r="L6" i="15" s="1"/>
  <c r="Q6" i="15" s="1"/>
  <c r="J7" i="15"/>
  <c r="L7" i="15" s="1"/>
  <c r="Q7" i="15" s="1"/>
  <c r="J15" i="15"/>
  <c r="L15" i="15" s="1"/>
  <c r="Q15" i="15" s="1"/>
  <c r="J16" i="15"/>
  <c r="L16" i="15" s="1"/>
  <c r="Q16" i="15" s="1"/>
  <c r="J19" i="15"/>
  <c r="L19" i="15" s="1"/>
  <c r="J21" i="15"/>
  <c r="L21" i="15" s="1"/>
  <c r="Q21" i="15" s="1"/>
  <c r="J14" i="15"/>
  <c r="L14" i="15" s="1"/>
  <c r="Q14" i="15" s="1"/>
  <c r="J2" i="15"/>
  <c r="E78" i="5"/>
  <c r="L2" i="15"/>
  <c r="Q2" i="15" s="1"/>
  <c r="R2" i="15" s="1"/>
  <c r="BE23" i="8"/>
  <c r="BF25" i="8"/>
  <c r="BI25" i="8"/>
  <c r="BO25" i="8"/>
  <c r="BL25" i="8"/>
  <c r="F24" i="12"/>
  <c r="BM24" i="12"/>
  <c r="AZ25" i="8"/>
  <c r="AW25" i="8"/>
  <c r="L14" i="9"/>
  <c r="J14" i="9"/>
  <c r="K14" i="9" s="1"/>
  <c r="L16" i="9"/>
  <c r="J16" i="9"/>
  <c r="K16" i="9" s="1"/>
  <c r="J6" i="9"/>
  <c r="L6" i="9"/>
  <c r="J3" i="9"/>
  <c r="L3" i="9"/>
  <c r="J13" i="9"/>
  <c r="L13" i="9"/>
  <c r="AT25" i="8"/>
  <c r="D9" i="11"/>
  <c r="AO23" i="8"/>
  <c r="D6" i="11"/>
  <c r="D12" i="11"/>
  <c r="D3" i="11"/>
  <c r="D2" i="11"/>
  <c r="D11" i="11"/>
  <c r="AP23" i="8"/>
  <c r="AQ23" i="8"/>
  <c r="AQ25" i="8" s="1"/>
  <c r="J18" i="9"/>
  <c r="K18" i="9" s="1"/>
  <c r="J21" i="9"/>
  <c r="K21" i="9" s="1"/>
  <c r="D6" i="5"/>
  <c r="P25" i="5"/>
  <c r="Q1" i="5"/>
  <c r="D7" i="5"/>
  <c r="BO20" i="11"/>
  <c r="D4" i="11"/>
  <c r="F20" i="11"/>
  <c r="J7" i="9"/>
  <c r="K7" i="9" s="1"/>
  <c r="K13" i="9"/>
  <c r="J11" i="9"/>
  <c r="K11" i="9" s="1"/>
  <c r="AK24" i="12"/>
  <c r="K20" i="9"/>
  <c r="J19" i="9"/>
  <c r="K19" i="9" s="1"/>
  <c r="J10" i="9"/>
  <c r="K10" i="9" s="1"/>
  <c r="J8" i="9"/>
  <c r="K8" i="9" s="1"/>
  <c r="J12" i="9"/>
  <c r="K12" i="9" s="1"/>
  <c r="K6" i="9"/>
  <c r="J15" i="9"/>
  <c r="K15" i="9" s="1"/>
  <c r="J17" i="9"/>
  <c r="K17" i="9" s="1"/>
  <c r="J4" i="9"/>
  <c r="K4" i="9" s="1"/>
  <c r="K3" i="9"/>
  <c r="J2" i="9"/>
  <c r="K2" i="9" s="1"/>
  <c r="K5" i="9"/>
  <c r="C9" i="2"/>
  <c r="G21" i="6"/>
  <c r="I9" i="9"/>
  <c r="L9" i="9" s="1"/>
  <c r="R14" i="15" l="1"/>
  <c r="S14" i="15"/>
  <c r="U14" i="15"/>
  <c r="R21" i="15"/>
  <c r="S21" i="15"/>
  <c r="U21" i="15"/>
  <c r="R19" i="15"/>
  <c r="S19" i="15"/>
  <c r="U19" i="15"/>
  <c r="R16" i="15"/>
  <c r="S16" i="15"/>
  <c r="U16" i="15"/>
  <c r="R15" i="15"/>
  <c r="S15" i="15"/>
  <c r="U15" i="15"/>
  <c r="R7" i="15"/>
  <c r="S7" i="15"/>
  <c r="U7" i="15"/>
  <c r="R6" i="15"/>
  <c r="S6" i="15"/>
  <c r="U6" i="15"/>
  <c r="R9" i="15"/>
  <c r="S9" i="15"/>
  <c r="U9" i="15"/>
  <c r="R3" i="15"/>
  <c r="S3" i="15"/>
  <c r="U3" i="15"/>
  <c r="R20" i="15"/>
  <c r="S20" i="15"/>
  <c r="U20" i="15"/>
  <c r="R8" i="15"/>
  <c r="S8" i="15"/>
  <c r="U8" i="15"/>
  <c r="R11" i="15"/>
  <c r="S11" i="15"/>
  <c r="U11" i="15"/>
  <c r="R17" i="15"/>
  <c r="S17" i="15"/>
  <c r="U17" i="15"/>
  <c r="R18" i="15"/>
  <c r="S18" i="15"/>
  <c r="U18" i="15"/>
  <c r="R12" i="15"/>
  <c r="S12" i="15"/>
  <c r="U12" i="15"/>
  <c r="R13" i="15"/>
  <c r="S13" i="15"/>
  <c r="U13" i="15"/>
  <c r="R10" i="15"/>
  <c r="S10" i="15"/>
  <c r="U10" i="15"/>
  <c r="R4" i="15"/>
  <c r="S4" i="15"/>
  <c r="U4" i="15"/>
  <c r="R5" i="15"/>
  <c r="S5" i="15"/>
  <c r="U5" i="15"/>
  <c r="S2" i="15"/>
  <c r="U2" i="15"/>
  <c r="Q25" i="5"/>
  <c r="R25" i="5" s="1"/>
  <c r="S25" i="5" s="1"/>
  <c r="T25" i="5" s="1"/>
  <c r="U25" i="5" s="1"/>
  <c r="V25" i="5" s="1"/>
  <c r="W25" i="5" s="1"/>
  <c r="R1" i="5"/>
  <c r="S1" i="5" s="1"/>
  <c r="T1" i="5" s="1"/>
  <c r="U1" i="5" s="1"/>
  <c r="V1" i="5" s="1"/>
  <c r="W1" i="5" s="1"/>
  <c r="X1" i="5" s="1"/>
  <c r="D23" i="5"/>
  <c r="D20" i="11"/>
  <c r="J9" i="9"/>
  <c r="K9" i="9" s="1"/>
  <c r="C23" i="8"/>
  <c r="N23" i="8"/>
  <c r="B23" i="8"/>
  <c r="T23" i="8"/>
  <c r="O23" i="8"/>
  <c r="L23" i="8"/>
  <c r="G25" i="8"/>
  <c r="G23" i="8"/>
  <c r="M25" i="8"/>
  <c r="M23" i="8"/>
  <c r="AA23" i="8"/>
  <c r="E23" i="8"/>
  <c r="AI23" i="8"/>
  <c r="Y23" i="8"/>
  <c r="Y25" i="8"/>
  <c r="V25" i="8"/>
  <c r="V23" i="8"/>
  <c r="P23" i="8"/>
  <c r="P25" i="8"/>
  <c r="I23" i="8"/>
  <c r="AH25" i="8"/>
  <c r="AH23" i="8"/>
  <c r="R23" i="8"/>
  <c r="AL23" i="8"/>
  <c r="AB25" i="8"/>
  <c r="AB23" i="8"/>
  <c r="U23" i="8"/>
  <c r="AM23" i="8"/>
  <c r="H23" i="8"/>
  <c r="AG23" i="8"/>
  <c r="AJ23" i="8"/>
  <c r="AF23" i="8"/>
  <c r="D25" i="8"/>
  <c r="D23" i="8"/>
  <c r="AD23" i="8"/>
  <c r="AC23" i="8"/>
  <c r="Z23" i="8"/>
  <c r="X23" i="8"/>
  <c r="K23" i="8"/>
  <c r="F23" i="8"/>
  <c r="AE25" i="8"/>
  <c r="AE23" i="8"/>
  <c r="Q23" i="8"/>
  <c r="AK23" i="8"/>
  <c r="AK25" i="8"/>
  <c r="S25" i="8"/>
  <c r="S23" i="8"/>
  <c r="J23" i="8"/>
  <c r="J25" i="8"/>
  <c r="AN23" i="8"/>
  <c r="AN2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tc={4113D1FD-4A2B-499D-A6BA-C887EED577B1}</author>
  </authors>
  <commentList>
    <comment ref="K1" authorId="0" shapeId="0" xr:uid="{4113D1FD-4A2B-499D-A6BA-C887EED577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the PRD OND sheet
</t>
      </text>
    </comment>
  </commentList>
</comments>
</file>

<file path=xl/sharedStrings.xml><?xml version="1.0" encoding="utf-8"?>
<sst xmlns="http://schemas.openxmlformats.org/spreadsheetml/2006/main" count="2427" uniqueCount="442">
  <si>
    <t xml:space="preserve">  </t>
  </si>
  <si>
    <t>Work Order</t>
  </si>
  <si>
    <t>Product</t>
  </si>
  <si>
    <t>LL</t>
  </si>
  <si>
    <t>Category</t>
  </si>
  <si>
    <t>Qtr</t>
  </si>
  <si>
    <t>Qty</t>
  </si>
  <si>
    <t>Completed</t>
  </si>
  <si>
    <t>Pending</t>
  </si>
  <si>
    <t>Feb 2nd Week</t>
  </si>
  <si>
    <t>Feb 3rd Week</t>
  </si>
  <si>
    <t>Feb 4th Week</t>
  </si>
  <si>
    <t>Mar 1st Week</t>
  </si>
  <si>
    <t>Mar 2nd Week</t>
  </si>
  <si>
    <t>Mar 3rd Weeek</t>
  </si>
  <si>
    <t>Mar 4th Week</t>
  </si>
  <si>
    <t>Stock (WH)</t>
  </si>
  <si>
    <t>Stock (At OEM)</t>
  </si>
  <si>
    <t>Confirmed Prod'n</t>
  </si>
  <si>
    <t>Apr 1st week</t>
  </si>
  <si>
    <t>Remarks</t>
  </si>
  <si>
    <t>BN-SO-2526-0005</t>
  </si>
  <si>
    <t>Solaria 4B</t>
  </si>
  <si>
    <t xml:space="preserve">Burner </t>
  </si>
  <si>
    <t>JAS</t>
  </si>
  <si>
    <t>BN-SO-2526-0002</t>
  </si>
  <si>
    <t>Zyra 4 Burner</t>
  </si>
  <si>
    <t>5 to be shortclosed</t>
  </si>
  <si>
    <t>BN-SO-2526-0049</t>
  </si>
  <si>
    <t>Solaria 3B</t>
  </si>
  <si>
    <t>OND</t>
  </si>
  <si>
    <t>BN-SO-2526-0026</t>
  </si>
  <si>
    <t xml:space="preserve">Arista 60 </t>
  </si>
  <si>
    <t xml:space="preserve">Chimney </t>
  </si>
  <si>
    <t>Arista 90</t>
  </si>
  <si>
    <t>BN-SO-2526-0023</t>
  </si>
  <si>
    <t>Asteria 60</t>
  </si>
  <si>
    <t>Asteria 90</t>
  </si>
  <si>
    <t>BN-SO-2526-0028</t>
  </si>
  <si>
    <t>Cube</t>
  </si>
  <si>
    <t>BN-SO-2526-0024</t>
  </si>
  <si>
    <t>Elara 60</t>
  </si>
  <si>
    <t>Elara 90</t>
  </si>
  <si>
    <t>BN-SO-2526-0025</t>
  </si>
  <si>
    <t>Eris 60</t>
  </si>
  <si>
    <t>Eris 90</t>
  </si>
  <si>
    <t>BN-SO-2526-0022</t>
  </si>
  <si>
    <t>Orion</t>
  </si>
  <si>
    <t>BN-SO-2526-0019</t>
  </si>
  <si>
    <t>Dorado 3B</t>
  </si>
  <si>
    <t>Burner</t>
  </si>
  <si>
    <t>Dorado 4B</t>
  </si>
  <si>
    <t>BN-SO-2526-0020</t>
  </si>
  <si>
    <t>Altair 4B</t>
  </si>
  <si>
    <t>BN-SO-2526-0042</t>
  </si>
  <si>
    <t>Asteria 60 BLDC</t>
  </si>
  <si>
    <t>Asteria 90 BLDC</t>
  </si>
  <si>
    <t>BN-SO-2526-0050</t>
  </si>
  <si>
    <t>BN-SO-2526-0040</t>
  </si>
  <si>
    <t xml:space="preserve">January </t>
  </si>
  <si>
    <t>BN-SO-2526-0039</t>
  </si>
  <si>
    <t>Auriga 4B</t>
  </si>
  <si>
    <t>BN-SO-2526-0041</t>
  </si>
  <si>
    <t>BN-SO-2526-0029</t>
  </si>
  <si>
    <t>BN-SO-2526-0030</t>
  </si>
  <si>
    <t>BN-SO-2526-0034</t>
  </si>
  <si>
    <t>BN-SO-2526-0032</t>
  </si>
  <si>
    <t>BN-SO-2526-0033</t>
  </si>
  <si>
    <t>BN-SO-2526-0031</t>
  </si>
  <si>
    <t>BN-SO-2526-0036</t>
  </si>
  <si>
    <t>BN-SO-2526-0037</t>
  </si>
  <si>
    <t>BN-SO-2526-0038</t>
  </si>
  <si>
    <t>Auriga 3B</t>
  </si>
  <si>
    <t>BN-SO-2526-0047</t>
  </si>
  <si>
    <t xml:space="preserve">February </t>
  </si>
  <si>
    <t>Plan dropped (50 pcs)</t>
  </si>
  <si>
    <t>BN-SO-2526-0048</t>
  </si>
  <si>
    <t>Arista 60 BLDC</t>
  </si>
  <si>
    <t>Arista 90 BLDC</t>
  </si>
  <si>
    <t xml:space="preserve">Orion </t>
  </si>
  <si>
    <t>BN-SO-2526-0035</t>
  </si>
  <si>
    <t>March</t>
  </si>
  <si>
    <t>Plan dropped</t>
  </si>
  <si>
    <t>BN-SO-2526-0043</t>
  </si>
  <si>
    <t>Arista 60</t>
  </si>
  <si>
    <t>BN-SO-2526-0044</t>
  </si>
  <si>
    <t>BN-SO-2526-0045</t>
  </si>
  <si>
    <t>BN-SO-2526-0046</t>
  </si>
  <si>
    <t>Sl. No</t>
  </si>
  <si>
    <t>Sales Request</t>
  </si>
  <si>
    <t xml:space="preserve">WO Creation </t>
  </si>
  <si>
    <t>WO No</t>
  </si>
  <si>
    <t>DRG Request Date</t>
  </si>
  <si>
    <t>DRG Release Date</t>
  </si>
  <si>
    <t xml:space="preserve">Costing Sign Off </t>
  </si>
  <si>
    <t xml:space="preserve">PO Completion </t>
  </si>
  <si>
    <t xml:space="preserve">LL Item Receiving </t>
  </si>
  <si>
    <t>Buffer</t>
  </si>
  <si>
    <t>Sub-Assembly TAT</t>
  </si>
  <si>
    <t>FG Start</t>
  </si>
  <si>
    <t>Lead Time</t>
  </si>
  <si>
    <t>Costing to be finalised</t>
  </si>
  <si>
    <t>15-12-2025</t>
  </si>
  <si>
    <t>2000 PO to be shared</t>
  </si>
  <si>
    <t>Done</t>
  </si>
  <si>
    <t>Date to be mentioned</t>
  </si>
  <si>
    <t>TBD</t>
  </si>
  <si>
    <t>jm</t>
  </si>
  <si>
    <t>a</t>
  </si>
  <si>
    <t xml:space="preserve">Check </t>
  </si>
  <si>
    <t xml:space="preserve">Pending WO </t>
  </si>
  <si>
    <t>July</t>
  </si>
  <si>
    <t>Aug</t>
  </si>
  <si>
    <t>Sep</t>
  </si>
  <si>
    <t>Nov</t>
  </si>
  <si>
    <t>Chimney</t>
  </si>
  <si>
    <t>Cube 60</t>
  </si>
  <si>
    <t>Dorado Plus</t>
  </si>
  <si>
    <t>Dorado Premium</t>
  </si>
  <si>
    <t xml:space="preserve">Elara 90 </t>
  </si>
  <si>
    <t xml:space="preserve">Eris 90 </t>
  </si>
  <si>
    <t>Zyra</t>
  </si>
  <si>
    <t>b</t>
  </si>
  <si>
    <t>zz</t>
  </si>
  <si>
    <t>c</t>
  </si>
  <si>
    <t xml:space="preserve">Sl. NO </t>
  </si>
  <si>
    <t>Model</t>
  </si>
  <si>
    <t>CMO</t>
  </si>
  <si>
    <t>OCT Planned</t>
  </si>
  <si>
    <t>OCT 
W1</t>
  </si>
  <si>
    <t>OCT 
W2</t>
  </si>
  <si>
    <t>OCT
 W3</t>
  </si>
  <si>
    <t>OCT
 W4</t>
  </si>
  <si>
    <t>OCT
 W5</t>
  </si>
  <si>
    <t>17th Nov Pending</t>
  </si>
  <si>
    <t>Nov
W1</t>
  </si>
  <si>
    <t>Nov
W2</t>
  </si>
  <si>
    <t>Nov
W3</t>
  </si>
  <si>
    <t>Nov
W4</t>
  </si>
  <si>
    <t>Dec</t>
  </si>
  <si>
    <t>DEC
W1</t>
  </si>
  <si>
    <t>DEC
W2</t>
  </si>
  <si>
    <t>DEC
W3</t>
  </si>
  <si>
    <t>DEC
W4</t>
  </si>
  <si>
    <t>DEC
W5</t>
  </si>
  <si>
    <t xml:space="preserve"> </t>
  </si>
  <si>
    <t xml:space="preserve">Zyra </t>
  </si>
  <si>
    <t xml:space="preserve">TOTAL </t>
  </si>
  <si>
    <t>Oct</t>
  </si>
  <si>
    <t>DEC</t>
  </si>
  <si>
    <t xml:space="preserve">JFM </t>
  </si>
  <si>
    <t>JAN</t>
  </si>
  <si>
    <t>JAN
W1</t>
  </si>
  <si>
    <t>JAN
W2</t>
  </si>
  <si>
    <t>JAN
 W3</t>
  </si>
  <si>
    <t>JAN
 W4</t>
  </si>
  <si>
    <t>JAN
 W5</t>
  </si>
  <si>
    <t>Feb</t>
  </si>
  <si>
    <t>FEB
W1</t>
  </si>
  <si>
    <t>FEB W2</t>
  </si>
  <si>
    <t>FEB
 W3</t>
  </si>
  <si>
    <t>FEB
 W4</t>
  </si>
  <si>
    <t>MAR</t>
  </si>
  <si>
    <t>MAR
W1</t>
  </si>
  <si>
    <t>MAR
W2</t>
  </si>
  <si>
    <t>MAR
 W3</t>
  </si>
  <si>
    <t>MAR
 W4</t>
  </si>
  <si>
    <t>MAR
 W5</t>
  </si>
  <si>
    <t>FEB</t>
  </si>
  <si>
    <t xml:space="preserve">Sl. No </t>
  </si>
  <si>
    <t>oct cancelled</t>
  </si>
  <si>
    <t>No OCT plan</t>
  </si>
  <si>
    <t>Discuss in NOV 1st week</t>
  </si>
  <si>
    <t xml:space="preserve">Anurag to share plan next week </t>
  </si>
  <si>
    <t>Dec -200 Finalised,  COGS approval to be sent by R&amp;D</t>
  </si>
  <si>
    <t>Dec 4th week FG</t>
  </si>
  <si>
    <t>Jan 1st week FG</t>
  </si>
  <si>
    <t>Jan - 200 Pending of OND</t>
  </si>
  <si>
    <t>200 nos by 15th Feb</t>
  </si>
  <si>
    <t>no change in plan</t>
  </si>
  <si>
    <t xml:space="preserve">no change in plan </t>
  </si>
  <si>
    <t>No changes</t>
  </si>
  <si>
    <t>No Changes</t>
  </si>
  <si>
    <t>OCT 22 FG</t>
  </si>
  <si>
    <t xml:space="preserve">FG by 4th Nov , BLDC for Dec ( Tentative ) </t>
  </si>
  <si>
    <t>Oct - by 4th Nov, Nov by 18th Nov, Dec by Nov 28th , BLDC FG - 50 Pcs by 10th Dec</t>
  </si>
  <si>
    <t>Dec 1st week 400 nos, Sales to give Jan nos today</t>
  </si>
  <si>
    <t xml:space="preserve">24th Dec </t>
  </si>
  <si>
    <t>100 Nos pending</t>
  </si>
  <si>
    <t>Jan - 145 Pcs Pending of OND</t>
  </si>
  <si>
    <t>0 Pending</t>
  </si>
  <si>
    <t>Dec 1st week 350 nos, Sales to give Jan nos today</t>
  </si>
  <si>
    <t>Produciton completed</t>
  </si>
  <si>
    <t>to be updated by 2nd eve + move 3k units from jan to dec</t>
  </si>
  <si>
    <t>Discussion with R&amp;D for vaneer printing.</t>
  </si>
  <si>
    <t>Oct - No veneer, 300 moved to Grey</t>
  </si>
  <si>
    <t>no change</t>
  </si>
  <si>
    <t xml:space="preserve">OCT 15h 500 Nos @ 500rs extra  </t>
  </si>
  <si>
    <t>OCT 20th to 22nd FG ready</t>
  </si>
  <si>
    <t>Magenta color sample to be submited to marketing.
Divyanshu by 15th will sahre the box design changes.</t>
  </si>
  <si>
    <t>1.Shade Card to be arranged within 3-4 days. 
2.Packaging Artwork to be changed. 
3. November 10th FG - 1400 (Black), 600 (Grey)
4. November 20th - 1400 (Black), 600 (Grey)</t>
  </si>
  <si>
    <t xml:space="preserve">No change in plan </t>
  </si>
  <si>
    <t>700Nos FG in 4th week
1300 Nos of FG in 5th week</t>
  </si>
  <si>
    <t>Next week 1100 with thermocol, Production to continue the Jan pro</t>
  </si>
  <si>
    <t>1100 will be completed this week remaining 2000 nos will be available by Dec last week</t>
  </si>
  <si>
    <t>Jan 1st week 4000 nos will be completed</t>
  </si>
  <si>
    <t>Jan - 364 Pcs Pending of OND</t>
  </si>
  <si>
    <t>Anurag will give plan on 15th</t>
  </si>
  <si>
    <t>Anurag to give plan before diwali</t>
  </si>
  <si>
    <t>December 250 is finalised , COGS approval to be sent by R&amp;D</t>
  </si>
  <si>
    <t>Dec 5th week FG</t>
  </si>
  <si>
    <t>Jan - 250 Pending of OND</t>
  </si>
  <si>
    <t>250 nos by 15th Feb</t>
  </si>
  <si>
    <t xml:space="preserve">oct producttion not required </t>
  </si>
  <si>
    <t xml:space="preserve">Nov - 0, Dec - Number to be revised in next week </t>
  </si>
  <si>
    <t xml:space="preserve">Oct,Nov,Dec - 0 </t>
  </si>
  <si>
    <t>harmeet to bill today</t>
  </si>
  <si>
    <t>Production moved to OCT 5th week</t>
  </si>
  <si>
    <t xml:space="preserve">FG by 10th Nov </t>
  </si>
  <si>
    <t>No change</t>
  </si>
  <si>
    <t>Production completed</t>
  </si>
  <si>
    <t xml:space="preserve">November 1st Week </t>
  </si>
  <si>
    <t xml:space="preserve">Dec 2nd week </t>
  </si>
  <si>
    <t xml:space="preserve">next week realistic timeline </t>
  </si>
  <si>
    <t>Noember 1st week FG</t>
  </si>
  <si>
    <t>November 1st week FG</t>
  </si>
  <si>
    <t>Nov 3rd Week FG</t>
  </si>
  <si>
    <t>1400 to be ready by DEC 2nd week</t>
  </si>
  <si>
    <t>R&amp;D should make one master sample</t>
  </si>
  <si>
    <t xml:space="preserve">Dec - 350 </t>
  </si>
  <si>
    <t xml:space="preserve">Dec 3rd week </t>
  </si>
  <si>
    <t>Try to deliver in 2nd week</t>
  </si>
  <si>
    <t xml:space="preserve">Dec 4th week </t>
  </si>
  <si>
    <t xml:space="preserve">Jan - 350 Pending in 4th week </t>
  </si>
  <si>
    <t>262 nos by 15th Feb</t>
  </si>
  <si>
    <t>22nd sept despatch of 130 units</t>
  </si>
  <si>
    <t>delayed to 27th sept</t>
  </si>
  <si>
    <t>120 FG ready/10-12 MSL</t>
  </si>
  <si>
    <t>have customer feedback by month end</t>
  </si>
  <si>
    <t>Have customer feedback by month end</t>
  </si>
  <si>
    <t xml:space="preserve">Dec - 550 </t>
  </si>
  <si>
    <t xml:space="preserve">Jan - 425 Pending in 4th week </t>
  </si>
  <si>
    <t>374 nos  by 15th Feb</t>
  </si>
  <si>
    <t xml:space="preserve">30th sept </t>
  </si>
  <si>
    <t xml:space="preserve">22nd sept </t>
  </si>
  <si>
    <t>50 done, rest by 30gh</t>
  </si>
  <si>
    <t>220 FG ready</t>
  </si>
  <si>
    <t>Order when MSL is 100 Units, R&amp;D to provide Spares for last 290 Batch</t>
  </si>
  <si>
    <t>Order when MSL is 100 Units</t>
  </si>
  <si>
    <t>additional order 1500 unit valve only</t>
  </si>
  <si>
    <t xml:space="preserve">3B- 306 </t>
  </si>
  <si>
    <t>3b 250</t>
  </si>
  <si>
    <t>Ticket Data to be reviewed</t>
  </si>
  <si>
    <t xml:space="preserve">Dec - 500 Pcs Cancelled on 7th November </t>
  </si>
  <si>
    <t xml:space="preserve">4B - 309 </t>
  </si>
  <si>
    <t>4b 250</t>
  </si>
  <si>
    <t xml:space="preserve">Asteria 60 - BLDC </t>
  </si>
  <si>
    <t xml:space="preserve">Dec 1st week FG and before 10th Bng delivery </t>
  </si>
  <si>
    <t>15th Dispatch</t>
  </si>
  <si>
    <t>22nd Dispatch</t>
  </si>
  <si>
    <t>6th Dispactch</t>
  </si>
  <si>
    <t xml:space="preserve">This week - 14 pcs pending </t>
  </si>
  <si>
    <t>14 pcs by 10th Feb</t>
  </si>
  <si>
    <t xml:space="preserve">Asteria 90 - BLDC </t>
  </si>
  <si>
    <t>3rd Jan FG</t>
  </si>
  <si>
    <t>This week - 10 Pcs pending</t>
  </si>
  <si>
    <t>10 pcs by 10th Feb</t>
  </si>
  <si>
    <t>JFM</t>
  </si>
  <si>
    <t>Jan</t>
  </si>
  <si>
    <t>Mar</t>
  </si>
  <si>
    <t xml:space="preserve">Numbers - TBD by Anurag </t>
  </si>
  <si>
    <t>Feb  quantity to be shared by Nov end,</t>
  </si>
  <si>
    <t xml:space="preserve">NO Jan production </t>
  </si>
  <si>
    <t>Feb numbers updated</t>
  </si>
  <si>
    <t>Jan 2nd Week FG</t>
  </si>
  <si>
    <t>Jan 4th Week FG</t>
  </si>
  <si>
    <t xml:space="preserve">Feb made Zero </t>
  </si>
  <si>
    <t xml:space="preserve">JAN - NO BLDC </t>
  </si>
  <si>
    <t>Jan 3rd week FG</t>
  </si>
  <si>
    <t xml:space="preserve">Jan - Feb in Jan 5th week </t>
  </si>
  <si>
    <t>Jan, Feb  - No Change.</t>
  </si>
  <si>
    <t xml:space="preserve">FG by JAN 15th </t>
  </si>
  <si>
    <t>2000 nos before Jan 15th</t>
  </si>
  <si>
    <t xml:space="preserve">Jan - 2000 in Jan 5th Week </t>
  </si>
  <si>
    <t>4000 pcs in Feb</t>
  </si>
  <si>
    <t>Jan 5th Week</t>
  </si>
  <si>
    <t>Feb made Zero , March updated</t>
  </si>
  <si>
    <t>Jan - 5th Week , March updated</t>
  </si>
  <si>
    <t>Jan, Feb - 15th Feb</t>
  </si>
  <si>
    <t>Jan, Feb - 18th Feb</t>
  </si>
  <si>
    <t xml:space="preserve">No Change in plan </t>
  </si>
  <si>
    <t xml:space="preserve">Jan - 4th Week </t>
  </si>
  <si>
    <t>Jan 88 pcs pending -  7th Feb</t>
  </si>
  <si>
    <t>Jan - 5th Week , Feb - Feb 4th Week on wards</t>
  </si>
  <si>
    <t>149 pcs pending by 14th Feb</t>
  </si>
  <si>
    <t>Till Dec</t>
  </si>
  <si>
    <t>520 pcs pending by 14th Feb</t>
  </si>
  <si>
    <t xml:space="preserve">Jan - Feb - Mar - Old Altair </t>
  </si>
  <si>
    <t>Jan 5th Week FG</t>
  </si>
  <si>
    <t xml:space="preserve">Jan - Feb - in Feb 3rd Week </t>
  </si>
  <si>
    <t>Feb 600pcs by 4th week</t>
  </si>
  <si>
    <t xml:space="preserve">Wait for Feedback </t>
  </si>
  <si>
    <t>Jan - 275</t>
  </si>
  <si>
    <t>Jan 3rd Week FG</t>
  </si>
  <si>
    <t xml:space="preserve">Jan - Feb 1st Week , Feb - 3rd Week </t>
  </si>
  <si>
    <t>Jan - Feb 4th Week</t>
  </si>
  <si>
    <t>Jan - 400</t>
  </si>
  <si>
    <t xml:space="preserve">Wait for MSL 100 </t>
  </si>
  <si>
    <t>March 290 nos</t>
  </si>
  <si>
    <t>Try to deliver before last week of Dec</t>
  </si>
  <si>
    <t>Anurag to update the quantity by next week</t>
  </si>
  <si>
    <t>Quantiy for feb is 0</t>
  </si>
  <si>
    <t>Jan 18th FG</t>
  </si>
  <si>
    <t>March - 0 , But plan for 1500</t>
  </si>
  <si>
    <t>Jan - Feb 4th week</t>
  </si>
  <si>
    <t>Altair Pro 3B</t>
  </si>
  <si>
    <t>Altair Pro 4B</t>
  </si>
  <si>
    <t>Cube BLDC</t>
  </si>
  <si>
    <t>200 pcs added, 1st week of Mar</t>
  </si>
  <si>
    <t>AMJ</t>
  </si>
  <si>
    <t>April</t>
  </si>
  <si>
    <t>May</t>
  </si>
  <si>
    <t>June</t>
  </si>
  <si>
    <t xml:space="preserve">Prepare for 20000 </t>
  </si>
  <si>
    <t xml:space="preserve">Arista 60 - BLDC </t>
  </si>
  <si>
    <t>Apr - 100</t>
  </si>
  <si>
    <t xml:space="preserve">Arista 90 - BLDC </t>
  </si>
  <si>
    <t>BN-SO-2526-0021</t>
  </si>
  <si>
    <t>Eris 60cm</t>
  </si>
  <si>
    <t>BN-SO-2526-0011</t>
  </si>
  <si>
    <t xml:space="preserve">Elara 60cm </t>
  </si>
  <si>
    <t>Eris 90cm</t>
  </si>
  <si>
    <t>BN-SO-2526-0009</t>
  </si>
  <si>
    <t xml:space="preserve">Cube 60 W/O- Wave - Black </t>
  </si>
  <si>
    <t>BN-SO-2526-0027</t>
  </si>
  <si>
    <t>Offline_Sku Plan</t>
  </si>
  <si>
    <t>Type</t>
  </si>
  <si>
    <t>July Req</t>
  </si>
  <si>
    <t>to give</t>
  </si>
  <si>
    <t>Aug Req</t>
  </si>
  <si>
    <t>18th July'25</t>
  </si>
  <si>
    <t>Asteria</t>
  </si>
  <si>
    <t>60 CM</t>
  </si>
  <si>
    <t>to be given</t>
  </si>
  <si>
    <t>August</t>
  </si>
  <si>
    <t>Sept</t>
  </si>
  <si>
    <t>Nov </t>
  </si>
  <si>
    <t>90 CM</t>
  </si>
  <si>
    <t>Asteria-60</t>
  </si>
  <si>
    <t>Asteria-90</t>
  </si>
  <si>
    <t>Altair</t>
  </si>
  <si>
    <t>4B</t>
  </si>
  <si>
    <t>Dorado -3b</t>
  </si>
  <si>
    <t>Dorado</t>
  </si>
  <si>
    <t>3B</t>
  </si>
  <si>
    <t>Dorado-4b</t>
  </si>
  <si>
    <t>Elara</t>
  </si>
  <si>
    <t> </t>
  </si>
  <si>
    <t>Altair Pro</t>
  </si>
  <si>
    <t>Eris</t>
  </si>
  <si>
    <t>Cube-Black</t>
  </si>
  <si>
    <t>Cube-Grey</t>
  </si>
  <si>
    <t>dorado plus</t>
  </si>
  <si>
    <t>Auriga</t>
  </si>
  <si>
    <t>auriga 3</t>
  </si>
  <si>
    <t>auriga 4</t>
  </si>
  <si>
    <t>Eris-60</t>
  </si>
  <si>
    <t>Eris-90</t>
  </si>
  <si>
    <t>altair pro</t>
  </si>
  <si>
    <t>Solaria</t>
  </si>
  <si>
    <t>arista</t>
  </si>
  <si>
    <t xml:space="preserve">Definitions </t>
  </si>
  <si>
    <t>LL to FG will need gap of 10 days</t>
  </si>
  <si>
    <t>30 days non LL</t>
  </si>
  <si>
    <t>MOQ * 3x is possible, beyond which this will have to be looked at case to case basis (3b and 4b tbd)</t>
  </si>
  <si>
    <t>china vendor is always rite and their quality is good</t>
  </si>
  <si>
    <t>In Production Plan a refers to original plan, b refers to minor changes in plan, c refers to actual achieved</t>
  </si>
  <si>
    <t>Aug 03 to 09</t>
  </si>
  <si>
    <t>Aug 10 to 16</t>
  </si>
  <si>
    <t>Aug 18 to 23</t>
  </si>
  <si>
    <t>Aug 24 to 31</t>
  </si>
  <si>
    <t xml:space="preserve">Sep 1 to 7 </t>
  </si>
  <si>
    <t>Sep 8 to 14</t>
  </si>
  <si>
    <t>Sep 15 to 21</t>
  </si>
  <si>
    <t>Sep 22 to October 1st</t>
  </si>
  <si>
    <t>Oct 6 to 12</t>
  </si>
  <si>
    <t>Oct 13 to 19</t>
  </si>
  <si>
    <t>Oct 20 to 26</t>
  </si>
  <si>
    <t>Nov 3 to 9</t>
  </si>
  <si>
    <t>Nov 10 to 16</t>
  </si>
  <si>
    <t>Nov 17 to 22</t>
  </si>
  <si>
    <t>Nov 24 to 29</t>
  </si>
  <si>
    <t>Dec 1 to 6</t>
  </si>
  <si>
    <t>Dec 8 to 13</t>
  </si>
  <si>
    <t>Dec 15 to 21</t>
  </si>
  <si>
    <t>Dec 21 to 28</t>
  </si>
  <si>
    <t>Dec 29 to 03</t>
  </si>
  <si>
    <t>Dec 05 to 10</t>
  </si>
  <si>
    <t>Dec 12 to 18</t>
  </si>
  <si>
    <t>Dec 19 to 24</t>
  </si>
  <si>
    <t>Target</t>
  </si>
  <si>
    <t>Revised</t>
  </si>
  <si>
    <t>Achieved</t>
  </si>
  <si>
    <t xml:space="preserve">% of completion </t>
  </si>
  <si>
    <t>Products</t>
  </si>
  <si>
    <t>cat 1</t>
  </si>
  <si>
    <t>cat 2</t>
  </si>
  <si>
    <t xml:space="preserve">21st Century </t>
  </si>
  <si>
    <t>FK</t>
  </si>
  <si>
    <t>PRIMARC</t>
  </si>
  <si>
    <t xml:space="preserve">DAWNTECH </t>
  </si>
  <si>
    <t xml:space="preserve">RETAILEZ </t>
  </si>
  <si>
    <t>Online Avg</t>
  </si>
  <si>
    <t>Offline Ag</t>
  </si>
  <si>
    <t xml:space="preserve">AVERAGE </t>
  </si>
  <si>
    <t>Target ASP</t>
  </si>
  <si>
    <t>TARGET GM%</t>
  </si>
  <si>
    <t>TARGET  COGS</t>
  </si>
  <si>
    <t>CURRENT COGS</t>
  </si>
  <si>
    <t>CURRENT GM%</t>
  </si>
  <si>
    <t>Delta GM%</t>
  </si>
  <si>
    <t>surplus
/loss</t>
  </si>
  <si>
    <t xml:space="preserve">COGS </t>
  </si>
  <si>
    <t xml:space="preserve">WC </t>
  </si>
  <si>
    <t xml:space="preserve">Remarks </t>
  </si>
  <si>
    <t>chimney</t>
  </si>
  <si>
    <t>ai</t>
  </si>
  <si>
    <t>20% Advance, 80% PDC @ 30 days</t>
  </si>
  <si>
    <t xml:space="preserve">H is updated for JFM </t>
  </si>
  <si>
    <t>stove</t>
  </si>
  <si>
    <t>android</t>
  </si>
  <si>
    <t>Solario 4B</t>
  </si>
  <si>
    <t>hobtop</t>
  </si>
  <si>
    <t xml:space="preserve">H is updated for December </t>
  </si>
  <si>
    <t>BLDC android</t>
  </si>
  <si>
    <t>H is updated for December Sample</t>
  </si>
  <si>
    <t>30 Days PDC</t>
  </si>
  <si>
    <t xml:space="preserve">H is updated for December &amp; Jan </t>
  </si>
  <si>
    <t>Solario 3B</t>
  </si>
  <si>
    <t>hob</t>
  </si>
  <si>
    <t>H is updated for Nov &amp; Dec</t>
  </si>
  <si>
    <t>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</si>
</sst>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_(* #,##0_);_(* \(#,##0\);_(* &quot;-&quot;??_);_(@_)"/>
  </numFmts>
  <fonts count="2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4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00"/>
      <name val="Calibri"/>
      <charset val="1"/>
    </font>
    <font>
      <sz val="10"/>
      <color theme="1"/>
      <name val="Calibri"/>
      <family val="2"/>
      <charset val="1"/>
    </font>
    <font>
      <sz val="11"/>
      <color theme="1"/>
      <name val="Calibri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sz val="12"/>
      <color rgb="FF000000"/>
      <name val="Aptos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9C07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2" xfId="0" applyBorder="1"/>
    <xf numFmtId="0" fontId="6" fillId="0" borderId="10" xfId="0" applyFont="1" applyBorder="1" applyAlignment="1">
      <alignment wrapText="1"/>
    </xf>
    <xf numFmtId="0" fontId="6" fillId="8" borderId="10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7" fillId="4" borderId="6" xfId="0" applyFont="1" applyFill="1" applyBorder="1" applyAlignment="1">
      <alignment wrapText="1"/>
    </xf>
    <xf numFmtId="0" fontId="8" fillId="4" borderId="6" xfId="0" applyFont="1" applyFill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10" fillId="0" borderId="8" xfId="0" applyFont="1" applyBorder="1"/>
    <xf numFmtId="0" fontId="9" fillId="7" borderId="7" xfId="0" applyFont="1" applyFill="1" applyBorder="1" applyAlignment="1">
      <alignment wrapText="1"/>
    </xf>
    <xf numFmtId="0" fontId="9" fillId="7" borderId="8" xfId="0" applyFont="1" applyFill="1" applyBorder="1" applyAlignment="1">
      <alignment wrapText="1"/>
    </xf>
    <xf numFmtId="0" fontId="9" fillId="8" borderId="7" xfId="0" applyFont="1" applyFill="1" applyBorder="1" applyAlignment="1">
      <alignment wrapText="1"/>
    </xf>
    <xf numFmtId="0" fontId="9" fillId="8" borderId="8" xfId="0" applyFont="1" applyFill="1" applyBorder="1" applyAlignment="1">
      <alignment wrapText="1"/>
    </xf>
    <xf numFmtId="0" fontId="11" fillId="7" borderId="8" xfId="0" applyFont="1" applyFill="1" applyBorder="1" applyAlignment="1">
      <alignment wrapText="1"/>
    </xf>
    <xf numFmtId="0" fontId="10" fillId="9" borderId="8" xfId="0" applyFont="1" applyFill="1" applyBorder="1"/>
    <xf numFmtId="0" fontId="10" fillId="3" borderId="8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1" fillId="11" borderId="2" xfId="0" applyFont="1" applyFill="1" applyBorder="1"/>
    <xf numFmtId="0" fontId="1" fillId="11" borderId="2" xfId="0" applyFont="1" applyFill="1" applyBorder="1" applyAlignment="1">
      <alignment horizontal="center"/>
    </xf>
    <xf numFmtId="0" fontId="0" fillId="11" borderId="0" xfId="0" applyFill="1"/>
    <xf numFmtId="0" fontId="0" fillId="11" borderId="2" xfId="0" applyFill="1" applyBorder="1"/>
    <xf numFmtId="0" fontId="0" fillId="12" borderId="2" xfId="0" applyFill="1" applyBorder="1" applyAlignment="1">
      <alignment horizontal="center"/>
    </xf>
    <xf numFmtId="0" fontId="1" fillId="12" borderId="2" xfId="0" applyFont="1" applyFill="1" applyBorder="1"/>
    <xf numFmtId="0" fontId="1" fillId="12" borderId="2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0" fontId="0" fillId="12" borderId="2" xfId="0" applyFill="1" applyBorder="1"/>
    <xf numFmtId="0" fontId="1" fillId="3" borderId="13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0" fillId="12" borderId="6" xfId="0" applyFill="1" applyBorder="1"/>
    <xf numFmtId="0" fontId="0" fillId="11" borderId="6" xfId="0" applyFill="1" applyBorder="1"/>
    <xf numFmtId="0" fontId="0" fillId="11" borderId="7" xfId="0" applyFill="1" applyBorder="1"/>
    <xf numFmtId="0" fontId="0" fillId="13" borderId="2" xfId="0" applyFill="1" applyBorder="1" applyAlignment="1">
      <alignment horizontal="center"/>
    </xf>
    <xf numFmtId="0" fontId="0" fillId="0" borderId="13" xfId="0" applyBorder="1"/>
    <xf numFmtId="0" fontId="0" fillId="11" borderId="13" xfId="0" applyFill="1" applyBorder="1"/>
    <xf numFmtId="0" fontId="0" fillId="12" borderId="8" xfId="0" applyFill="1" applyBorder="1"/>
    <xf numFmtId="0" fontId="0" fillId="12" borderId="7" xfId="0" applyFill="1" applyBorder="1"/>
    <xf numFmtId="0" fontId="12" fillId="11" borderId="2" xfId="0" applyFont="1" applyFill="1" applyBorder="1"/>
    <xf numFmtId="0" fontId="12" fillId="12" borderId="2" xfId="0" applyFont="1" applyFill="1" applyBorder="1"/>
    <xf numFmtId="0" fontId="0" fillId="12" borderId="14" xfId="0" applyFill="1" applyBorder="1"/>
    <xf numFmtId="0" fontId="0" fillId="12" borderId="13" xfId="0" applyFill="1" applyBorder="1"/>
    <xf numFmtId="0" fontId="0" fillId="11" borderId="15" xfId="0" applyFill="1" applyBorder="1"/>
    <xf numFmtId="0" fontId="1" fillId="11" borderId="6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1" fillId="14" borderId="2" xfId="0" applyFont="1" applyFill="1" applyBorder="1"/>
    <xf numFmtId="0" fontId="1" fillId="14" borderId="2" xfId="0" applyFont="1" applyFill="1" applyBorder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0" fillId="14" borderId="2" xfId="0" applyFill="1" applyBorder="1"/>
    <xf numFmtId="0" fontId="0" fillId="14" borderId="7" xfId="0" applyFill="1" applyBorder="1"/>
    <xf numFmtId="0" fontId="0" fillId="10" borderId="2" xfId="0" applyFill="1" applyBorder="1" applyAlignment="1">
      <alignment horizontal="center"/>
    </xf>
    <xf numFmtId="0" fontId="0" fillId="11" borderId="16" xfId="0" applyFill="1" applyBorder="1"/>
    <xf numFmtId="0" fontId="0" fillId="11" borderId="14" xfId="0" applyFill="1" applyBorder="1"/>
    <xf numFmtId="0" fontId="1" fillId="11" borderId="1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1" borderId="14" xfId="0" applyFont="1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11" borderId="17" xfId="0" applyFill="1" applyBorder="1"/>
    <xf numFmtId="0" fontId="0" fillId="11" borderId="8" xfId="0" applyFill="1" applyBorder="1"/>
    <xf numFmtId="0" fontId="0" fillId="0" borderId="6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5" xfId="0" applyBorder="1"/>
    <xf numFmtId="0" fontId="1" fillId="11" borderId="17" xfId="0" applyFon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12" borderId="6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10" fillId="0" borderId="2" xfId="0" applyFont="1" applyBorder="1"/>
    <xf numFmtId="0" fontId="3" fillId="0" borderId="2" xfId="0" applyFont="1" applyBorder="1"/>
    <xf numFmtId="0" fontId="2" fillId="15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13" fillId="15" borderId="13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 vertical="center" wrapText="1"/>
    </xf>
    <xf numFmtId="0" fontId="3" fillId="0" borderId="0" xfId="0" applyFont="1"/>
    <xf numFmtId="0" fontId="3" fillId="4" borderId="9" xfId="0" applyFont="1" applyFill="1" applyBorder="1" applyAlignment="1">
      <alignment wrapText="1"/>
    </xf>
    <xf numFmtId="0" fontId="2" fillId="0" borderId="0" xfId="0" applyFont="1"/>
    <xf numFmtId="0" fontId="3" fillId="0" borderId="10" xfId="0" applyFont="1" applyBorder="1" applyAlignment="1">
      <alignment wrapText="1"/>
    </xf>
    <xf numFmtId="0" fontId="2" fillId="4" borderId="2" xfId="0" applyFont="1" applyFill="1" applyBorder="1"/>
    <xf numFmtId="0" fontId="2" fillId="6" borderId="2" xfId="0" applyFont="1" applyFill="1" applyBorder="1"/>
    <xf numFmtId="0" fontId="3" fillId="7" borderId="10" xfId="0" applyFont="1" applyFill="1" applyBorder="1" applyAlignment="1">
      <alignment wrapText="1"/>
    </xf>
    <xf numFmtId="0" fontId="3" fillId="3" borderId="2" xfId="0" applyFont="1" applyFill="1" applyBorder="1"/>
    <xf numFmtId="0" fontId="3" fillId="10" borderId="2" xfId="0" applyFont="1" applyFill="1" applyBorder="1"/>
    <xf numFmtId="0" fontId="3" fillId="8" borderId="10" xfId="0" applyFont="1" applyFill="1" applyBorder="1" applyAlignment="1">
      <alignment wrapText="1"/>
    </xf>
    <xf numFmtId="0" fontId="1" fillId="4" borderId="2" xfId="0" applyFont="1" applyFill="1" applyBorder="1"/>
    <xf numFmtId="0" fontId="0" fillId="14" borderId="7" xfId="0" applyFill="1" applyBorder="1" applyAlignment="1">
      <alignment horizontal="center"/>
    </xf>
    <xf numFmtId="0" fontId="1" fillId="11" borderId="15" xfId="0" applyFont="1" applyFill="1" applyBorder="1"/>
    <xf numFmtId="164" fontId="0" fillId="0" borderId="17" xfId="0" applyNumberFormat="1" applyBorder="1" applyAlignment="1">
      <alignment horizontal="center"/>
    </xf>
    <xf numFmtId="0" fontId="0" fillId="0" borderId="16" xfId="0" applyBorder="1"/>
    <xf numFmtId="0" fontId="0" fillId="10" borderId="15" xfId="0" applyFill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164" fontId="0" fillId="10" borderId="6" xfId="0" applyNumberForma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5" fontId="0" fillId="0" borderId="15" xfId="0" applyNumberFormat="1" applyBorder="1" applyAlignment="1">
      <alignment horizontal="center"/>
    </xf>
    <xf numFmtId="0" fontId="0" fillId="12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3" fillId="15" borderId="7" xfId="0" applyFon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13" fillId="15" borderId="16" xfId="0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4" fillId="0" borderId="2" xfId="0" applyFont="1" applyBorder="1"/>
    <xf numFmtId="1" fontId="10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14" borderId="6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2" borderId="7" xfId="0" applyFill="1" applyBorder="1" applyAlignment="1">
      <alignment horizontal="center"/>
    </xf>
    <xf numFmtId="0" fontId="1" fillId="11" borderId="2" xfId="0" applyFont="1" applyFill="1" applyBorder="1" applyAlignment="1">
      <alignment horizontal="left"/>
    </xf>
    <xf numFmtId="0" fontId="1" fillId="11" borderId="15" xfId="0" applyFont="1" applyFill="1" applyBorder="1" applyAlignment="1">
      <alignment horizontal="left"/>
    </xf>
    <xf numFmtId="0" fontId="1" fillId="12" borderId="2" xfId="0" applyFont="1" applyFill="1" applyBorder="1" applyAlignment="1">
      <alignment horizontal="left"/>
    </xf>
    <xf numFmtId="0" fontId="1" fillId="14" borderId="2" xfId="0" applyFont="1" applyFill="1" applyBorder="1" applyAlignment="1">
      <alignment horizontal="left"/>
    </xf>
    <xf numFmtId="0" fontId="1" fillId="11" borderId="13" xfId="0" applyFont="1" applyFill="1" applyBorder="1" applyAlignment="1">
      <alignment horizontal="left"/>
    </xf>
    <xf numFmtId="164" fontId="15" fillId="0" borderId="2" xfId="0" applyNumberFormat="1" applyFont="1" applyBorder="1" applyAlignment="1">
      <alignment horizontal="center" vertical="center"/>
    </xf>
    <xf numFmtId="15" fontId="15" fillId="0" borderId="2" xfId="0" applyNumberFormat="1" applyFont="1" applyBorder="1" applyAlignment="1">
      <alignment horizontal="center" vertical="center"/>
    </xf>
    <xf numFmtId="0" fontId="0" fillId="10" borderId="0" xfId="0" applyFill="1"/>
    <xf numFmtId="0" fontId="0" fillId="12" borderId="13" xfId="0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0" borderId="15" xfId="0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15" fontId="0" fillId="0" borderId="2" xfId="0" applyNumberFormat="1" applyBorder="1" applyAlignment="1">
      <alignment horizontal="center"/>
    </xf>
    <xf numFmtId="0" fontId="0" fillId="0" borderId="2" xfId="0" applyBorder="1" applyAlignment="1">
      <alignment vertical="center" wrapText="1"/>
    </xf>
    <xf numFmtId="0" fontId="0" fillId="11" borderId="7" xfId="0" applyFill="1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165" fontId="14" fillId="4" borderId="2" xfId="0" applyNumberFormat="1" applyFont="1" applyFill="1" applyBorder="1" applyAlignment="1">
      <alignment horizontal="center"/>
    </xf>
    <xf numFmtId="0" fontId="14" fillId="0" borderId="2" xfId="0" applyFont="1" applyBorder="1"/>
    <xf numFmtId="0" fontId="0" fillId="0" borderId="0" xfId="0" applyAlignment="1">
      <alignment horizontal="center" vertical="center" wrapText="1"/>
    </xf>
    <xf numFmtId="0" fontId="0" fillId="10" borderId="2" xfId="0" applyFill="1" applyBorder="1"/>
    <xf numFmtId="0" fontId="0" fillId="10" borderId="0" xfId="0" applyFill="1" applyAlignment="1">
      <alignment horizontal="center"/>
    </xf>
    <xf numFmtId="0" fontId="0" fillId="14" borderId="13" xfId="0" applyFill="1" applyBorder="1"/>
    <xf numFmtId="0" fontId="17" fillId="10" borderId="2" xfId="0" applyFont="1" applyFill="1" applyBorder="1" applyAlignment="1">
      <alignment horizontal="center" vertical="center"/>
    </xf>
    <xf numFmtId="0" fontId="17" fillId="17" borderId="2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0" fontId="16" fillId="15" borderId="2" xfId="0" applyFont="1" applyFill="1" applyBorder="1" applyAlignment="1">
      <alignment horizontal="center" vertical="center" wrapText="1"/>
    </xf>
    <xf numFmtId="0" fontId="13" fillId="17" borderId="2" xfId="0" applyFont="1" applyFill="1" applyBorder="1" applyAlignment="1">
      <alignment horizontal="center"/>
    </xf>
    <xf numFmtId="0" fontId="17" fillId="15" borderId="13" xfId="0" applyFont="1" applyFill="1" applyBorder="1" applyAlignment="1">
      <alignment horizontal="center" vertical="center" wrapText="1"/>
    </xf>
    <xf numFmtId="0" fontId="13" fillId="17" borderId="7" xfId="0" applyFont="1" applyFill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9" fontId="14" fillId="0" borderId="2" xfId="0" applyNumberFormat="1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15" fontId="15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3" fillId="10" borderId="0" xfId="0" applyFont="1" applyFill="1"/>
    <xf numFmtId="0" fontId="10" fillId="10" borderId="0" xfId="0" applyFont="1" applyFill="1"/>
    <xf numFmtId="0" fontId="3" fillId="0" borderId="0" xfId="0" applyFont="1" applyAlignment="1">
      <alignment vertical="center"/>
    </xf>
    <xf numFmtId="0" fontId="16" fillId="15" borderId="6" xfId="0" applyFont="1" applyFill="1" applyBorder="1" applyAlignment="1">
      <alignment horizontal="center" vertical="center" wrapText="1"/>
    </xf>
    <xf numFmtId="0" fontId="13" fillId="15" borderId="6" xfId="0" applyFont="1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4" fillId="10" borderId="2" xfId="0" applyFont="1" applyFill="1" applyBorder="1"/>
    <xf numFmtId="165" fontId="14" fillId="10" borderId="2" xfId="0" applyNumberFormat="1" applyFont="1" applyFill="1" applyBorder="1" applyAlignment="1">
      <alignment horizontal="center"/>
    </xf>
    <xf numFmtId="9" fontId="14" fillId="10" borderId="2" xfId="0" applyNumberFormat="1" applyFont="1" applyFill="1" applyBorder="1" applyAlignment="1">
      <alignment horizontal="center"/>
    </xf>
    <xf numFmtId="10" fontId="0" fillId="10" borderId="2" xfId="0" applyNumberFormat="1" applyFill="1" applyBorder="1" applyAlignment="1">
      <alignment horizontal="center"/>
    </xf>
    <xf numFmtId="0" fontId="10" fillId="10" borderId="2" xfId="0" applyFont="1" applyFill="1" applyBorder="1"/>
    <xf numFmtId="10" fontId="14" fillId="16" borderId="2" xfId="0" applyNumberFormat="1" applyFont="1" applyFill="1" applyBorder="1"/>
    <xf numFmtId="10" fontId="14" fillId="10" borderId="2" xfId="0" applyNumberFormat="1" applyFont="1" applyFill="1" applyBorder="1"/>
    <xf numFmtId="0" fontId="1" fillId="15" borderId="2" xfId="0" applyFont="1" applyFill="1" applyBorder="1"/>
    <xf numFmtId="0" fontId="1" fillId="15" borderId="6" xfId="0" applyFont="1" applyFill="1" applyBorder="1" applyAlignment="1">
      <alignment horizontal="center"/>
    </xf>
    <xf numFmtId="0" fontId="1" fillId="15" borderId="13" xfId="0" applyFont="1" applyFill="1" applyBorder="1"/>
    <xf numFmtId="0" fontId="1" fillId="15" borderId="15" xfId="0" applyFont="1" applyFill="1" applyBorder="1" applyAlignment="1">
      <alignment horizontal="center"/>
    </xf>
    <xf numFmtId="0" fontId="1" fillId="12" borderId="13" xfId="0" applyFont="1" applyFill="1" applyBorder="1"/>
    <xf numFmtId="0" fontId="1" fillId="12" borderId="15" xfId="0" applyFont="1" applyFill="1" applyBorder="1"/>
    <xf numFmtId="0" fontId="1" fillId="12" borderId="16" xfId="0" applyFont="1" applyFill="1" applyBorder="1"/>
    <xf numFmtId="0" fontId="0" fillId="18" borderId="2" xfId="0" applyFill="1" applyBorder="1" applyAlignment="1">
      <alignment horizontal="center"/>
    </xf>
    <xf numFmtId="0" fontId="0" fillId="18" borderId="2" xfId="0" applyFill="1" applyBorder="1" applyAlignment="1">
      <alignment horizontal="left"/>
    </xf>
    <xf numFmtId="0" fontId="0" fillId="18" borderId="2" xfId="0" applyFill="1" applyBorder="1"/>
    <xf numFmtId="0" fontId="0" fillId="11" borderId="20" xfId="0" applyFill="1" applyBorder="1"/>
    <xf numFmtId="0" fontId="0" fillId="11" borderId="15" xfId="0" applyFill="1" applyBorder="1" applyAlignment="1">
      <alignment horizontal="center"/>
    </xf>
    <xf numFmtId="0" fontId="1" fillId="11" borderId="16" xfId="0" applyFont="1" applyFill="1" applyBorder="1" applyAlignment="1">
      <alignment horizontal="left"/>
    </xf>
    <xf numFmtId="0" fontId="0" fillId="11" borderId="16" xfId="0" applyFill="1" applyBorder="1" applyAlignment="1">
      <alignment horizontal="center"/>
    </xf>
    <xf numFmtId="0" fontId="1" fillId="11" borderId="7" xfId="0" applyFont="1" applyFill="1" applyBorder="1"/>
    <xf numFmtId="0" fontId="1" fillId="11" borderId="14" xfId="0" applyFont="1" applyFill="1" applyBorder="1" applyAlignment="1">
      <alignment horizontal="left"/>
    </xf>
    <xf numFmtId="0" fontId="0" fillId="11" borderId="19" xfId="0" applyFill="1" applyBorder="1"/>
    <xf numFmtId="0" fontId="0" fillId="13" borderId="2" xfId="0" applyFill="1" applyBorder="1"/>
    <xf numFmtId="0" fontId="0" fillId="17" borderId="15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0" fontId="0" fillId="10" borderId="15" xfId="0" applyFill="1" applyBorder="1" applyAlignment="1">
      <alignment horizontal="center" vertical="center"/>
    </xf>
    <xf numFmtId="0" fontId="3" fillId="17" borderId="15" xfId="0" applyFont="1" applyFill="1" applyBorder="1" applyAlignment="1">
      <alignment horizontal="center"/>
    </xf>
    <xf numFmtId="0" fontId="3" fillId="15" borderId="15" xfId="0" applyFont="1" applyFill="1" applyBorder="1" applyAlignment="1">
      <alignment horizontal="center"/>
    </xf>
    <xf numFmtId="0" fontId="0" fillId="17" borderId="15" xfId="0" applyFill="1" applyBorder="1" applyAlignment="1">
      <alignment horizontal="center" vertical="center"/>
    </xf>
    <xf numFmtId="0" fontId="3" fillId="15" borderId="17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left"/>
    </xf>
    <xf numFmtId="0" fontId="0" fillId="11" borderId="21" xfId="0" applyFill="1" applyBorder="1"/>
    <xf numFmtId="0" fontId="0" fillId="10" borderId="2" xfId="0" applyFill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17" borderId="20" xfId="0" applyFill="1" applyBorder="1" applyAlignment="1">
      <alignment horizontal="center" vertical="center"/>
    </xf>
    <xf numFmtId="0" fontId="3" fillId="15" borderId="20" xfId="0" applyFont="1" applyFill="1" applyBorder="1" applyAlignment="1">
      <alignment horizontal="center"/>
    </xf>
    <xf numFmtId="0" fontId="18" fillId="15" borderId="2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1" fillId="12" borderId="13" xfId="0" applyFont="1" applyFill="1" applyBorder="1" applyAlignment="1">
      <alignment horizontal="left"/>
    </xf>
    <xf numFmtId="0" fontId="14" fillId="0" borderId="1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1" fontId="14" fillId="0" borderId="17" xfId="0" applyNumberFormat="1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4" fillId="10" borderId="17" xfId="0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/>
    </xf>
    <xf numFmtId="0" fontId="0" fillId="14" borderId="0" xfId="0" applyFill="1" applyAlignment="1">
      <alignment horizontal="center"/>
    </xf>
    <xf numFmtId="0" fontId="1" fillId="14" borderId="0" xfId="0" applyFont="1" applyFill="1"/>
    <xf numFmtId="0" fontId="1" fillId="14" borderId="0" xfId="0" applyFont="1" applyFill="1" applyAlignment="1">
      <alignment horizontal="center"/>
    </xf>
    <xf numFmtId="0" fontId="1" fillId="14" borderId="0" xfId="0" applyFont="1" applyFill="1" applyAlignment="1">
      <alignment horizontal="left"/>
    </xf>
    <xf numFmtId="0" fontId="0" fillId="14" borderId="0" xfId="0" applyFill="1"/>
    <xf numFmtId="0" fontId="2" fillId="0" borderId="2" xfId="0" applyFont="1" applyBorder="1" applyAlignment="1">
      <alignment horizontal="center" vertical="center" wrapText="1"/>
    </xf>
    <xf numFmtId="0" fontId="13" fillId="0" borderId="2" xfId="0" applyFont="1" applyBorder="1"/>
    <xf numFmtId="15" fontId="0" fillId="0" borderId="2" xfId="0" applyNumberFormat="1" applyBorder="1" applyAlignment="1">
      <alignment horizontal="left"/>
    </xf>
    <xf numFmtId="15" fontId="0" fillId="4" borderId="15" xfId="0" applyNumberFormat="1" applyFill="1" applyBorder="1" applyAlignment="1">
      <alignment horizontal="left"/>
    </xf>
    <xf numFmtId="15" fontId="0" fillId="4" borderId="2" xfId="0" applyNumberFormat="1" applyFill="1" applyBorder="1" applyAlignment="1">
      <alignment horizontal="left"/>
    </xf>
    <xf numFmtId="15" fontId="0" fillId="0" borderId="15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3" fillId="18" borderId="2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164" fontId="0" fillId="10" borderId="17" xfId="0" applyNumberFormat="1" applyFill="1" applyBorder="1" applyAlignment="1">
      <alignment horizontal="center"/>
    </xf>
    <xf numFmtId="164" fontId="0" fillId="0" borderId="17" xfId="0" applyNumberFormat="1" applyBorder="1" applyAlignment="1">
      <alignment horizontal="left"/>
    </xf>
    <xf numFmtId="164" fontId="0" fillId="0" borderId="7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5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left"/>
    </xf>
    <xf numFmtId="15" fontId="0" fillId="4" borderId="15" xfId="0" applyNumberFormat="1" applyFill="1" applyBorder="1" applyAlignment="1">
      <alignment horizontal="center"/>
    </xf>
    <xf numFmtId="15" fontId="0" fillId="4" borderId="6" xfId="0" applyNumberFormat="1" applyFill="1" applyBorder="1" applyAlignment="1">
      <alignment horizontal="center"/>
    </xf>
    <xf numFmtId="15" fontId="0" fillId="4" borderId="17" xfId="0" applyNumberFormat="1" applyFill="1" applyBorder="1" applyAlignment="1">
      <alignment horizontal="center"/>
    </xf>
    <xf numFmtId="15" fontId="0" fillId="4" borderId="2" xfId="0" applyNumberFormat="1" applyFill="1" applyBorder="1" applyAlignment="1">
      <alignment horizontal="center"/>
    </xf>
    <xf numFmtId="0" fontId="1" fillId="15" borderId="13" xfId="0" applyFont="1" applyFill="1" applyBorder="1" applyAlignment="1">
      <alignment horizontal="left"/>
    </xf>
    <xf numFmtId="0" fontId="1" fillId="12" borderId="16" xfId="0" applyFont="1" applyFill="1" applyBorder="1" applyAlignment="1">
      <alignment horizontal="left"/>
    </xf>
    <xf numFmtId="0" fontId="3" fillId="18" borderId="2" xfId="0" applyFont="1" applyFill="1" applyBorder="1"/>
    <xf numFmtId="0" fontId="0" fillId="0" borderId="17" xfId="0" applyBorder="1" applyAlignment="1">
      <alignment horizontal="center"/>
    </xf>
    <xf numFmtId="0" fontId="1" fillId="15" borderId="7" xfId="0" applyFont="1" applyFill="1" applyBorder="1"/>
    <xf numFmtId="0" fontId="1" fillId="15" borderId="8" xfId="0" applyFont="1" applyFill="1" applyBorder="1" applyAlignment="1">
      <alignment horizontal="center"/>
    </xf>
    <xf numFmtId="0" fontId="1" fillId="15" borderId="7" xfId="0" applyFont="1" applyFill="1" applyBorder="1" applyAlignment="1">
      <alignment horizontal="center"/>
    </xf>
    <xf numFmtId="15" fontId="0" fillId="0" borderId="7" xfId="0" applyNumberFormat="1" applyBorder="1" applyAlignment="1">
      <alignment horizontal="left"/>
    </xf>
    <xf numFmtId="0" fontId="3" fillId="18" borderId="13" xfId="0" applyFont="1" applyFill="1" applyBorder="1" applyAlignment="1">
      <alignment horizontal="left"/>
    </xf>
    <xf numFmtId="0" fontId="0" fillId="18" borderId="13" xfId="0" applyFill="1" applyBorder="1" applyAlignment="1">
      <alignment horizontal="left"/>
    </xf>
    <xf numFmtId="0" fontId="1" fillId="15" borderId="14" xfId="0" applyFont="1" applyFill="1" applyBorder="1" applyAlignment="1">
      <alignment horizontal="left"/>
    </xf>
    <xf numFmtId="1" fontId="14" fillId="10" borderId="17" xfId="0" applyNumberFormat="1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/>
    </xf>
    <xf numFmtId="0" fontId="14" fillId="10" borderId="2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15" fontId="15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9" fillId="10" borderId="2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1" fillId="17" borderId="2" xfId="0" applyFont="1" applyFill="1" applyBorder="1"/>
    <xf numFmtId="0" fontId="1" fillId="17" borderId="2" xfId="0" applyFont="1" applyFill="1" applyBorder="1" applyAlignment="1">
      <alignment horizontal="center"/>
    </xf>
    <xf numFmtId="15" fontId="15" fillId="0" borderId="0" xfId="0" applyNumberFormat="1" applyFont="1" applyAlignment="1">
      <alignment horizontal="center" vertical="center"/>
    </xf>
    <xf numFmtId="0" fontId="0" fillId="0" borderId="2" xfId="0" applyBorder="1" applyAlignment="1">
      <alignment wrapText="1"/>
    </xf>
    <xf numFmtId="15" fontId="0" fillId="0" borderId="0" xfId="0" applyNumberFormat="1"/>
    <xf numFmtId="165" fontId="20" fillId="10" borderId="2" xfId="0" applyNumberFormat="1" applyFont="1" applyFill="1" applyBorder="1" applyAlignment="1">
      <alignment horizontal="center"/>
    </xf>
    <xf numFmtId="165" fontId="10" fillId="10" borderId="2" xfId="0" applyNumberFormat="1" applyFont="1" applyFill="1" applyBorder="1" applyAlignment="1">
      <alignment horizontal="center"/>
    </xf>
    <xf numFmtId="15" fontId="0" fillId="0" borderId="2" xfId="0" applyNumberFormat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3" fillId="0" borderId="2" xfId="0" applyFont="1" applyBorder="1" applyAlignment="1">
      <alignment wrapText="1"/>
    </xf>
    <xf numFmtId="164" fontId="15" fillId="0" borderId="6" xfId="0" applyNumberFormat="1" applyFont="1" applyBorder="1" applyAlignment="1">
      <alignment horizontal="center" vertical="center"/>
    </xf>
    <xf numFmtId="0" fontId="0" fillId="0" borderId="23" xfId="0" applyBorder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15" xfId="0" applyFont="1" applyBorder="1"/>
    <xf numFmtId="0" fontId="13" fillId="15" borderId="15" xfId="0" applyFont="1" applyFill="1" applyBorder="1" applyAlignment="1">
      <alignment horizontal="center"/>
    </xf>
    <xf numFmtId="0" fontId="13" fillId="17" borderId="20" xfId="0" applyFont="1" applyFill="1" applyBorder="1" applyAlignment="1">
      <alignment horizontal="center"/>
    </xf>
    <xf numFmtId="0" fontId="13" fillId="15" borderId="20" xfId="0" applyFont="1" applyFill="1" applyBorder="1" applyAlignment="1">
      <alignment horizontal="center"/>
    </xf>
    <xf numFmtId="0" fontId="21" fillId="15" borderId="2" xfId="0" applyFont="1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0" fillId="14" borderId="15" xfId="0" applyFill="1" applyBorder="1"/>
    <xf numFmtId="0" fontId="0" fillId="14" borderId="16" xfId="0" applyFill="1" applyBorder="1"/>
    <xf numFmtId="0" fontId="1" fillId="11" borderId="13" xfId="0" applyFont="1" applyFill="1" applyBorder="1"/>
    <xf numFmtId="0" fontId="3" fillId="18" borderId="13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1" fillId="15" borderId="2" xfId="0" applyFont="1" applyFill="1" applyBorder="1" applyAlignment="1">
      <alignment horizontal="left"/>
    </xf>
    <xf numFmtId="0" fontId="1" fillId="11" borderId="6" xfId="0" applyFont="1" applyFill="1" applyBorder="1"/>
    <xf numFmtId="0" fontId="0" fillId="18" borderId="6" xfId="0" applyFill="1" applyBorder="1" applyAlignment="1">
      <alignment horizontal="left"/>
    </xf>
    <xf numFmtId="0" fontId="1" fillId="15" borderId="6" xfId="0" applyFont="1" applyFill="1" applyBorder="1"/>
    <xf numFmtId="0" fontId="1" fillId="15" borderId="8" xfId="0" applyFont="1" applyFill="1" applyBorder="1"/>
    <xf numFmtId="0" fontId="1" fillId="12" borderId="6" xfId="0" applyFont="1" applyFill="1" applyBorder="1"/>
    <xf numFmtId="0" fontId="1" fillId="11" borderId="17" xfId="0" applyFont="1" applyFill="1" applyBorder="1"/>
    <xf numFmtId="0" fontId="1" fillId="17" borderId="6" xfId="0" applyFont="1" applyFill="1" applyBorder="1"/>
    <xf numFmtId="0" fontId="22" fillId="10" borderId="2" xfId="0" applyFont="1" applyFill="1" applyBorder="1" applyAlignment="1">
      <alignment horizontal="center" vertical="center" wrapText="1"/>
    </xf>
    <xf numFmtId="0" fontId="22" fillId="0" borderId="2" xfId="0" applyFont="1" applyBorder="1"/>
    <xf numFmtId="165" fontId="22" fillId="0" borderId="2" xfId="0" applyNumberFormat="1" applyFont="1" applyBorder="1" applyAlignment="1">
      <alignment horizontal="center"/>
    </xf>
    <xf numFmtId="9" fontId="22" fillId="0" borderId="2" xfId="0" applyNumberFormat="1" applyFont="1" applyBorder="1" applyAlignment="1">
      <alignment horizontal="center"/>
    </xf>
    <xf numFmtId="165" fontId="22" fillId="10" borderId="2" xfId="0" applyNumberFormat="1" applyFont="1" applyFill="1" applyBorder="1" applyAlignment="1">
      <alignment horizontal="center"/>
    </xf>
    <xf numFmtId="10" fontId="22" fillId="16" borderId="2" xfId="0" applyNumberFormat="1" applyFont="1" applyFill="1" applyBorder="1"/>
    <xf numFmtId="0" fontId="19" fillId="0" borderId="2" xfId="0" applyFont="1" applyBorder="1"/>
    <xf numFmtId="9" fontId="22" fillId="10" borderId="2" xfId="0" applyNumberFormat="1" applyFont="1" applyFill="1" applyBorder="1" applyAlignment="1">
      <alignment horizontal="center"/>
    </xf>
    <xf numFmtId="10" fontId="22" fillId="10" borderId="2" xfId="0" applyNumberFormat="1" applyFont="1" applyFill="1" applyBorder="1"/>
    <xf numFmtId="165" fontId="23" fillId="10" borderId="2" xfId="0" applyNumberFormat="1" applyFont="1" applyFill="1" applyBorder="1" applyAlignment="1">
      <alignment horizontal="center"/>
    </xf>
    <xf numFmtId="165" fontId="19" fillId="10" borderId="2" xfId="0" applyNumberFormat="1" applyFont="1" applyFill="1" applyBorder="1" applyAlignment="1">
      <alignment horizontal="center"/>
    </xf>
    <xf numFmtId="165" fontId="19" fillId="0" borderId="2" xfId="0" applyNumberFormat="1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1" fontId="22" fillId="10" borderId="2" xfId="0" applyNumberFormat="1" applyFont="1" applyFill="1" applyBorder="1" applyAlignment="1">
      <alignment horizontal="center" vertical="center" wrapText="1"/>
    </xf>
    <xf numFmtId="165" fontId="19" fillId="0" borderId="0" xfId="0" applyNumberFormat="1" applyFont="1" applyAlignment="1">
      <alignment horizontal="center"/>
    </xf>
    <xf numFmtId="165" fontId="0" fillId="0" borderId="2" xfId="0" applyNumberFormat="1" applyBorder="1" applyAlignment="1">
      <alignment horizontal="center"/>
    </xf>
    <xf numFmtId="165" fontId="22" fillId="0" borderId="19" xfId="0" applyNumberFormat="1" applyFont="1" applyBorder="1" applyAlignment="1">
      <alignment horizontal="center"/>
    </xf>
    <xf numFmtId="165" fontId="22" fillId="0" borderId="2" xfId="0" applyNumberFormat="1" applyFont="1" applyBorder="1"/>
    <xf numFmtId="165" fontId="0" fillId="0" borderId="0" xfId="0" applyNumberFormat="1" applyAlignment="1">
      <alignment horizontal="center"/>
    </xf>
    <xf numFmtId="15" fontId="0" fillId="0" borderId="13" xfId="0" applyNumberFormat="1" applyBorder="1"/>
    <xf numFmtId="15" fontId="0" fillId="0" borderId="0" xfId="0" applyNumberFormat="1" applyAlignment="1">
      <alignment horizontal="center"/>
    </xf>
    <xf numFmtId="0" fontId="1" fillId="17" borderId="13" xfId="0" applyFont="1" applyFill="1" applyBorder="1"/>
    <xf numFmtId="0" fontId="1" fillId="17" borderId="23" xfId="0" applyFont="1" applyFill="1" applyBorder="1"/>
    <xf numFmtId="0" fontId="1" fillId="17" borderId="7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/>
    </xf>
    <xf numFmtId="0" fontId="0" fillId="14" borderId="6" xfId="0" applyFill="1" applyBorder="1"/>
    <xf numFmtId="165" fontId="22" fillId="0" borderId="15" xfId="0" applyNumberFormat="1" applyFont="1" applyBorder="1"/>
    <xf numFmtId="9" fontId="22" fillId="0" borderId="15" xfId="0" applyNumberFormat="1" applyFont="1" applyBorder="1" applyAlignment="1">
      <alignment horizontal="center"/>
    </xf>
    <xf numFmtId="165" fontId="22" fillId="0" borderId="15" xfId="0" applyNumberFormat="1" applyFont="1" applyBorder="1" applyAlignment="1">
      <alignment horizontal="center"/>
    </xf>
    <xf numFmtId="165" fontId="22" fillId="0" borderId="20" xfId="0" applyNumberFormat="1" applyFont="1" applyBorder="1"/>
    <xf numFmtId="9" fontId="22" fillId="0" borderId="20" xfId="0" applyNumberFormat="1" applyFont="1" applyBorder="1" applyAlignment="1">
      <alignment horizontal="center"/>
    </xf>
    <xf numFmtId="165" fontId="22" fillId="0" borderId="20" xfId="0" applyNumberFormat="1" applyFont="1" applyBorder="1" applyAlignment="1">
      <alignment horizontal="center"/>
    </xf>
    <xf numFmtId="165" fontId="22" fillId="0" borderId="7" xfId="0" applyNumberFormat="1" applyFont="1" applyBorder="1"/>
    <xf numFmtId="165" fontId="22" fillId="0" borderId="7" xfId="0" applyNumberFormat="1" applyFont="1" applyBorder="1" applyAlignment="1">
      <alignment horizontal="center"/>
    </xf>
    <xf numFmtId="165" fontId="22" fillId="10" borderId="19" xfId="0" applyNumberFormat="1" applyFont="1" applyFill="1" applyBorder="1" applyAlignment="1">
      <alignment horizontal="center"/>
    </xf>
    <xf numFmtId="165" fontId="22" fillId="10" borderId="8" xfId="0" applyNumberFormat="1" applyFont="1" applyFill="1" applyBorder="1" applyAlignment="1">
      <alignment horizontal="center"/>
    </xf>
    <xf numFmtId="9" fontId="22" fillId="10" borderId="7" xfId="0" applyNumberFormat="1" applyFont="1" applyFill="1" applyBorder="1" applyAlignment="1">
      <alignment horizontal="center"/>
    </xf>
    <xf numFmtId="165" fontId="22" fillId="10" borderId="7" xfId="0" applyNumberFormat="1" applyFont="1" applyFill="1" applyBorder="1" applyAlignment="1">
      <alignment horizontal="center"/>
    </xf>
    <xf numFmtId="0" fontId="22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1" fontId="22" fillId="0" borderId="2" xfId="0" applyNumberFormat="1" applyFont="1" applyBorder="1" applyAlignment="1">
      <alignment horizontal="center" vertical="center" wrapText="1"/>
    </xf>
    <xf numFmtId="0" fontId="22" fillId="0" borderId="15" xfId="0" applyFont="1" applyBorder="1"/>
    <xf numFmtId="165" fontId="22" fillId="0" borderId="16" xfId="0" applyNumberFormat="1" applyFont="1" applyBorder="1"/>
    <xf numFmtId="10" fontId="0" fillId="0" borderId="15" xfId="0" applyNumberFormat="1" applyBorder="1" applyAlignment="1">
      <alignment horizontal="center"/>
    </xf>
    <xf numFmtId="10" fontId="22" fillId="16" borderId="15" xfId="0" applyNumberFormat="1" applyFont="1" applyFill="1" applyBorder="1"/>
    <xf numFmtId="0" fontId="19" fillId="10" borderId="16" xfId="0" applyFont="1" applyFill="1" applyBorder="1" applyAlignment="1">
      <alignment horizontal="center"/>
    </xf>
    <xf numFmtId="0" fontId="19" fillId="0" borderId="15" xfId="0" applyFont="1" applyBorder="1"/>
    <xf numFmtId="165" fontId="0" fillId="0" borderId="15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22" fillId="0" borderId="20" xfId="0" applyFont="1" applyBorder="1"/>
    <xf numFmtId="165" fontId="22" fillId="0" borderId="21" xfId="0" applyNumberFormat="1" applyFont="1" applyBorder="1"/>
    <xf numFmtId="165" fontId="19" fillId="0" borderId="20" xfId="0" applyNumberFormat="1" applyFon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0" fontId="22" fillId="16" borderId="20" xfId="0" applyNumberFormat="1" applyFont="1" applyFill="1" applyBorder="1"/>
    <xf numFmtId="0" fontId="19" fillId="10" borderId="21" xfId="0" applyFont="1" applyFill="1" applyBorder="1" applyAlignment="1">
      <alignment horizontal="center"/>
    </xf>
    <xf numFmtId="0" fontId="19" fillId="0" borderId="20" xfId="0" applyFont="1" applyBorder="1"/>
    <xf numFmtId="165" fontId="22" fillId="0" borderId="14" xfId="0" applyNumberFormat="1" applyFont="1" applyBorder="1"/>
    <xf numFmtId="165" fontId="0" fillId="0" borderId="7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0" fontId="19" fillId="10" borderId="14" xfId="0" applyFont="1" applyFill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22" fillId="10" borderId="7" xfId="0" applyFont="1" applyFill="1" applyBorder="1"/>
    <xf numFmtId="165" fontId="22" fillId="10" borderId="7" xfId="0" applyNumberFormat="1" applyFont="1" applyFill="1" applyBorder="1"/>
    <xf numFmtId="165" fontId="22" fillId="10" borderId="14" xfId="0" applyNumberFormat="1" applyFont="1" applyFill="1" applyBorder="1"/>
    <xf numFmtId="10" fontId="22" fillId="10" borderId="7" xfId="0" applyNumberFormat="1" applyFont="1" applyFill="1" applyBorder="1"/>
    <xf numFmtId="0" fontId="19" fillId="10" borderId="7" xfId="0" applyFont="1" applyFill="1" applyBorder="1"/>
    <xf numFmtId="16" fontId="0" fillId="0" borderId="0" xfId="0" applyNumberFormat="1" applyAlignment="1">
      <alignment horizontal="left"/>
    </xf>
    <xf numFmtId="17" fontId="0" fillId="0" borderId="2" xfId="0" applyNumberFormat="1" applyBorder="1"/>
    <xf numFmtId="0" fontId="24" fillId="0" borderId="2" xfId="0" applyFont="1" applyBorder="1" applyAlignment="1">
      <alignment vertical="center"/>
    </xf>
    <xf numFmtId="0" fontId="22" fillId="10" borderId="2" xfId="0" applyFont="1" applyFill="1" applyBorder="1"/>
    <xf numFmtId="0" fontId="19" fillId="10" borderId="2" xfId="0" applyFont="1" applyFill="1" applyBorder="1"/>
    <xf numFmtId="165" fontId="22" fillId="10" borderId="2" xfId="0" applyNumberFormat="1" applyFont="1" applyFill="1" applyBorder="1"/>
    <xf numFmtId="165" fontId="22" fillId="10" borderId="17" xfId="0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165" fontId="23" fillId="10" borderId="19" xfId="0" applyNumberFormat="1" applyFont="1" applyFill="1" applyBorder="1" applyAlignment="1">
      <alignment horizontal="center"/>
    </xf>
    <xf numFmtId="17" fontId="0" fillId="0" borderId="14" xfId="0" applyNumberFormat="1" applyBorder="1"/>
    <xf numFmtId="0" fontId="0" fillId="0" borderId="16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4" fillId="15" borderId="13" xfId="0" applyFont="1" applyFill="1" applyBorder="1" applyAlignment="1">
      <alignment horizontal="center"/>
    </xf>
    <xf numFmtId="0" fontId="4" fillId="15" borderId="14" xfId="0" applyFont="1" applyFill="1" applyBorder="1" applyAlignment="1">
      <alignment horizontal="center"/>
    </xf>
    <xf numFmtId="0" fontId="1" fillId="17" borderId="13" xfId="0" applyFont="1" applyFill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0" fillId="19" borderId="2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5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5" borderId="11" xfId="0" applyFont="1" applyFill="1" applyBorder="1" applyAlignment="1">
      <alignment wrapText="1"/>
    </xf>
    <xf numFmtId="0" fontId="5" fillId="5" borderId="0" xfId="0" applyFont="1" applyFill="1" applyAlignment="1">
      <alignment wrapText="1"/>
    </xf>
    <xf numFmtId="0" fontId="5" fillId="5" borderId="12" xfId="0" applyFont="1" applyFill="1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1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E1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Tahir" id="{28785423-7888-4C76-B3C3-C47D8AD1FCA4}">
    <nsvFilter filterId="{655CA000-C1FA-4D5B-B6A9-81827BA5BB47}" ref="A1:CG58" tableId="0">
      <columnFilter colId="0">
        <filter colId="0">
          <x:filters>
            <x:filter val="b"/>
          </x:filters>
        </filter>
      </columnFilter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Tahir" id="{9612668B-EEF6-4149-8F94-9FC83791AD3F}"/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Tahir" id="{C778E1F6-7E04-49F2-A15F-6D2398D44541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Eshwar Vikas" id="{66A0B9B6-2A3B-8F44-820A-71BD14E66443}" userId="S::eshwar@mukundafoods.com::1b8906f5-abb5-4752-b5e4-7c667a1892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09-23T05:32:09.50" personId="{66A0B9B6-2A3B-8F44-820A-71BD14E66443}" id="{4113D1FD-4A2B-499D-A6BA-C887EED577B1}">
    <text xml:space="preserve">as per the PRD OND sheet
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5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13E8-B6AD-4DFA-A757-313A6C6AD7C2}">
  <sheetPr filterMode="1"/>
  <dimension ref="A1:V68"/>
  <sheetViews>
    <sheetView workbookViewId="0">
      <pane xSplit="7" ySplit="1" topLeftCell="H49" activePane="bottomRight" state="frozen"/>
      <selection pane="bottomRight" activeCell="I1" sqref="I1"/>
      <selection pane="bottomLeft"/>
      <selection pane="topRight"/>
    </sheetView>
  </sheetViews>
  <sheetFormatPr defaultColWidth="8.85546875" defaultRowHeight="15"/>
  <cols>
    <col min="2" max="2" width="20.85546875" customWidth="1"/>
    <col min="3" max="3" width="18.5703125" customWidth="1"/>
    <col min="4" max="4" width="9.140625"/>
    <col min="5" max="5" width="10.140625" customWidth="1"/>
    <col min="6" max="6" width="13.42578125" style="1" customWidth="1"/>
    <col min="7" max="9" width="11.7109375" customWidth="1"/>
    <col min="10" max="18" width="15.42578125" style="1" hidden="1" customWidth="1"/>
    <col min="19" max="20" width="15.42578125" style="1" customWidth="1"/>
    <col min="21" max="21" width="21" customWidth="1"/>
  </cols>
  <sheetData>
    <row r="1" spans="1:21">
      <c r="A1" t="s">
        <v>0</v>
      </c>
      <c r="B1" t="s">
        <v>1</v>
      </c>
      <c r="C1" s="72" t="s">
        <v>2</v>
      </c>
      <c r="D1" s="261" t="s">
        <v>3</v>
      </c>
      <c r="E1" s="69" t="s">
        <v>4</v>
      </c>
      <c r="F1" s="72" t="s">
        <v>5</v>
      </c>
      <c r="G1" s="72" t="s">
        <v>6</v>
      </c>
      <c r="H1" s="72" t="s">
        <v>7</v>
      </c>
      <c r="I1" s="398" t="s">
        <v>8</v>
      </c>
      <c r="J1" s="39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80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3" t="s">
        <v>20</v>
      </c>
    </row>
    <row r="2" spans="1:21" hidden="1">
      <c r="A2" s="19">
        <v>1</v>
      </c>
      <c r="B2" s="313" t="s">
        <v>21</v>
      </c>
      <c r="C2" s="200" t="s">
        <v>22</v>
      </c>
      <c r="D2" s="199"/>
      <c r="E2" s="199" t="s">
        <v>23</v>
      </c>
      <c r="F2" s="309" t="s">
        <v>24</v>
      </c>
      <c r="G2" s="200"/>
      <c r="H2" s="200"/>
      <c r="I2" s="400">
        <v>0</v>
      </c>
      <c r="J2" s="19"/>
      <c r="K2" s="19"/>
      <c r="L2" s="19"/>
      <c r="M2" s="19"/>
      <c r="N2" s="19"/>
      <c r="O2" s="19"/>
      <c r="P2" s="80"/>
      <c r="Q2" s="19">
        <v>0</v>
      </c>
      <c r="R2" s="19">
        <v>0</v>
      </c>
      <c r="S2" s="19">
        <f>SUM(J2:P2)</f>
        <v>0</v>
      </c>
      <c r="T2" s="19"/>
      <c r="U2" s="3"/>
    </row>
    <row r="3" spans="1:21" hidden="1">
      <c r="A3" s="19">
        <v>2</v>
      </c>
      <c r="B3" s="313" t="s">
        <v>25</v>
      </c>
      <c r="C3" s="260" t="s">
        <v>26</v>
      </c>
      <c r="D3" s="199"/>
      <c r="E3" s="199" t="s">
        <v>23</v>
      </c>
      <c r="F3" s="246" t="s">
        <v>24</v>
      </c>
      <c r="G3" s="198">
        <v>290</v>
      </c>
      <c r="H3" s="198">
        <v>260</v>
      </c>
      <c r="I3" s="309">
        <f>G3-H3</f>
        <v>30</v>
      </c>
      <c r="J3" s="19">
        <v>25</v>
      </c>
      <c r="K3" s="19"/>
      <c r="L3" s="19"/>
      <c r="M3" s="19"/>
      <c r="N3" s="19"/>
      <c r="O3" s="19"/>
      <c r="P3" s="80"/>
      <c r="Q3" s="19">
        <v>115</v>
      </c>
      <c r="R3" s="19">
        <v>0</v>
      </c>
      <c r="S3" s="19">
        <f t="shared" ref="S3:S67" si="0">SUM(J3:P3)</f>
        <v>25</v>
      </c>
      <c r="T3" s="19"/>
      <c r="U3" s="3" t="s">
        <v>27</v>
      </c>
    </row>
    <row r="4" spans="1:21" hidden="1">
      <c r="A4" s="19">
        <v>3</v>
      </c>
      <c r="B4" s="314" t="s">
        <v>28</v>
      </c>
      <c r="C4" s="191" t="s">
        <v>29</v>
      </c>
      <c r="D4" s="183"/>
      <c r="E4" s="191" t="s">
        <v>23</v>
      </c>
      <c r="F4" s="183" t="s">
        <v>30</v>
      </c>
      <c r="G4" s="183">
        <v>350</v>
      </c>
      <c r="H4" s="183">
        <f>98+85</f>
        <v>183</v>
      </c>
      <c r="I4" s="401">
        <f>G4-H4</f>
        <v>167</v>
      </c>
      <c r="J4" s="19">
        <v>100</v>
      </c>
      <c r="K4" s="19">
        <v>67</v>
      </c>
      <c r="L4" s="19"/>
      <c r="M4" s="19"/>
      <c r="N4" s="19"/>
      <c r="O4" s="19"/>
      <c r="P4" s="80"/>
      <c r="Q4" s="19">
        <v>0</v>
      </c>
      <c r="R4" s="19">
        <v>0</v>
      </c>
      <c r="S4" s="19">
        <f t="shared" si="0"/>
        <v>167</v>
      </c>
      <c r="T4" s="19"/>
      <c r="U4" s="3"/>
    </row>
    <row r="5" spans="1:21" hidden="1">
      <c r="A5" s="19">
        <v>4</v>
      </c>
      <c r="B5" s="315" t="s">
        <v>31</v>
      </c>
      <c r="C5" s="262" t="s">
        <v>32</v>
      </c>
      <c r="D5" s="263">
        <v>60</v>
      </c>
      <c r="E5" s="262" t="s">
        <v>33</v>
      </c>
      <c r="F5" s="264" t="s">
        <v>30</v>
      </c>
      <c r="G5" s="264">
        <v>0</v>
      </c>
      <c r="H5" s="264">
        <v>0</v>
      </c>
      <c r="I5" s="402">
        <f>G5-H5</f>
        <v>0</v>
      </c>
      <c r="J5" s="19"/>
      <c r="K5" s="19"/>
      <c r="L5" s="19"/>
      <c r="M5" s="19"/>
      <c r="N5" s="19"/>
      <c r="O5" s="19"/>
      <c r="P5" s="80">
        <v>200</v>
      </c>
      <c r="Q5" s="19">
        <v>0</v>
      </c>
      <c r="R5" s="19">
        <v>0</v>
      </c>
      <c r="S5" s="19">
        <f t="shared" si="0"/>
        <v>200</v>
      </c>
      <c r="T5" s="19"/>
      <c r="U5" s="3"/>
    </row>
    <row r="6" spans="1:21" hidden="1">
      <c r="A6" s="19">
        <v>5</v>
      </c>
      <c r="B6" s="314" t="s">
        <v>31</v>
      </c>
      <c r="C6" s="191" t="s">
        <v>34</v>
      </c>
      <c r="D6" s="192">
        <v>60</v>
      </c>
      <c r="E6" s="191" t="s">
        <v>33</v>
      </c>
      <c r="F6" s="183" t="s">
        <v>30</v>
      </c>
      <c r="G6" s="183">
        <v>0</v>
      </c>
      <c r="H6" s="183">
        <v>0</v>
      </c>
      <c r="I6" s="401">
        <f>G6-H6</f>
        <v>0</v>
      </c>
      <c r="J6" s="19"/>
      <c r="K6" s="19"/>
      <c r="L6" s="19"/>
      <c r="M6" s="19"/>
      <c r="N6" s="19"/>
      <c r="O6" s="19"/>
      <c r="P6" s="80">
        <v>200</v>
      </c>
      <c r="Q6" s="19">
        <v>0</v>
      </c>
      <c r="R6" s="19">
        <v>0</v>
      </c>
      <c r="S6" s="19">
        <f t="shared" si="0"/>
        <v>200</v>
      </c>
      <c r="T6" s="19"/>
      <c r="U6" s="3"/>
    </row>
    <row r="7" spans="1:21" hidden="1">
      <c r="A7" s="19">
        <v>6</v>
      </c>
      <c r="B7" s="314" t="s">
        <v>35</v>
      </c>
      <c r="C7" s="191" t="s">
        <v>36</v>
      </c>
      <c r="D7" s="192">
        <v>60</v>
      </c>
      <c r="E7" s="191" t="s">
        <v>33</v>
      </c>
      <c r="F7" s="194" t="s">
        <v>30</v>
      </c>
      <c r="G7" s="194">
        <v>600</v>
      </c>
      <c r="H7" s="183">
        <v>600</v>
      </c>
      <c r="I7" s="401">
        <f>G7-H7</f>
        <v>0</v>
      </c>
      <c r="J7" s="19"/>
      <c r="K7" s="19"/>
      <c r="L7" s="19"/>
      <c r="M7" s="19"/>
      <c r="N7" s="19"/>
      <c r="O7" s="19"/>
      <c r="P7" s="80"/>
      <c r="Q7" s="19">
        <v>0</v>
      </c>
      <c r="R7" s="19">
        <v>0</v>
      </c>
      <c r="S7" s="19">
        <f t="shared" si="0"/>
        <v>0</v>
      </c>
      <c r="T7" s="19"/>
      <c r="U7" s="3"/>
    </row>
    <row r="8" spans="1:21" hidden="1">
      <c r="A8" s="19">
        <v>7</v>
      </c>
      <c r="B8" s="314" t="s">
        <v>35</v>
      </c>
      <c r="C8" s="191" t="s">
        <v>37</v>
      </c>
      <c r="D8" s="192">
        <v>60</v>
      </c>
      <c r="E8" s="193" t="s">
        <v>33</v>
      </c>
      <c r="F8" s="247" t="s">
        <v>30</v>
      </c>
      <c r="G8" s="183">
        <v>550</v>
      </c>
      <c r="H8" s="183">
        <v>550</v>
      </c>
      <c r="I8" s="401">
        <f>G8-H8</f>
        <v>0</v>
      </c>
      <c r="J8" s="19"/>
      <c r="K8" s="19"/>
      <c r="L8" s="19"/>
      <c r="M8" s="19"/>
      <c r="N8" s="19"/>
      <c r="O8" s="19"/>
      <c r="P8" s="80"/>
      <c r="Q8" s="19">
        <v>0</v>
      </c>
      <c r="R8" s="19">
        <v>0</v>
      </c>
      <c r="S8" s="19">
        <f t="shared" si="0"/>
        <v>0</v>
      </c>
      <c r="T8" s="19"/>
      <c r="U8" s="3"/>
    </row>
    <row r="9" spans="1:21" hidden="1">
      <c r="A9" s="19">
        <v>8</v>
      </c>
      <c r="B9" s="314" t="s">
        <v>38</v>
      </c>
      <c r="C9" s="191" t="s">
        <v>39</v>
      </c>
      <c r="D9" s="183">
        <v>75</v>
      </c>
      <c r="E9" s="193" t="s">
        <v>33</v>
      </c>
      <c r="F9" s="247" t="s">
        <v>30</v>
      </c>
      <c r="G9" s="183">
        <v>4000</v>
      </c>
      <c r="H9" s="183">
        <v>4000</v>
      </c>
      <c r="I9" s="401">
        <f>G9-H9</f>
        <v>0</v>
      </c>
      <c r="J9" s="19"/>
      <c r="K9" s="19"/>
      <c r="L9" s="19"/>
      <c r="M9" s="19"/>
      <c r="N9" s="19"/>
      <c r="O9" s="19"/>
      <c r="P9" s="80"/>
      <c r="Q9" s="19">
        <v>0</v>
      </c>
      <c r="R9" s="19">
        <v>0</v>
      </c>
      <c r="S9" s="19">
        <f t="shared" si="0"/>
        <v>0</v>
      </c>
      <c r="T9" s="19"/>
      <c r="U9" s="3"/>
    </row>
    <row r="10" spans="1:21" hidden="1">
      <c r="A10" s="19">
        <v>9</v>
      </c>
      <c r="B10" s="314" t="s">
        <v>40</v>
      </c>
      <c r="C10" s="191" t="s">
        <v>41</v>
      </c>
      <c r="D10" s="183">
        <v>60</v>
      </c>
      <c r="E10" s="193" t="s">
        <v>33</v>
      </c>
      <c r="F10" s="247" t="s">
        <v>30</v>
      </c>
      <c r="G10" s="183">
        <v>0</v>
      </c>
      <c r="H10" s="183">
        <v>0</v>
      </c>
      <c r="I10" s="401">
        <f>G10-H10</f>
        <v>0</v>
      </c>
      <c r="J10" s="19"/>
      <c r="K10" s="19"/>
      <c r="L10" s="19"/>
      <c r="M10" s="19"/>
      <c r="N10" s="19"/>
      <c r="O10" s="19"/>
      <c r="P10" s="80">
        <v>0</v>
      </c>
      <c r="Q10" s="19">
        <v>0</v>
      </c>
      <c r="R10" s="19">
        <v>0</v>
      </c>
      <c r="S10" s="19">
        <f t="shared" si="0"/>
        <v>0</v>
      </c>
      <c r="T10" s="19">
        <v>250</v>
      </c>
      <c r="U10" s="3"/>
    </row>
    <row r="11" spans="1:21" hidden="1">
      <c r="A11" s="19">
        <v>10</v>
      </c>
      <c r="B11" s="314" t="s">
        <v>40</v>
      </c>
      <c r="C11" s="191" t="s">
        <v>42</v>
      </c>
      <c r="D11" s="183">
        <v>60</v>
      </c>
      <c r="E11" s="193" t="s">
        <v>33</v>
      </c>
      <c r="F11" s="247" t="s">
        <v>30</v>
      </c>
      <c r="G11" s="183">
        <v>0</v>
      </c>
      <c r="H11" s="183">
        <v>0</v>
      </c>
      <c r="I11" s="401">
        <f>G11-H11</f>
        <v>0</v>
      </c>
      <c r="J11" s="19"/>
      <c r="K11" s="19"/>
      <c r="L11" s="19"/>
      <c r="M11" s="19"/>
      <c r="N11" s="19"/>
      <c r="O11" s="19"/>
      <c r="P11" s="80">
        <v>0</v>
      </c>
      <c r="Q11" s="19">
        <v>0</v>
      </c>
      <c r="R11" s="19">
        <v>0</v>
      </c>
      <c r="S11" s="19">
        <f t="shared" si="0"/>
        <v>0</v>
      </c>
      <c r="T11" s="19">
        <v>250</v>
      </c>
      <c r="U11" s="3"/>
    </row>
    <row r="12" spans="1:21" hidden="1">
      <c r="A12" s="19">
        <v>11</v>
      </c>
      <c r="B12" s="314" t="s">
        <v>43</v>
      </c>
      <c r="C12" s="191" t="s">
        <v>44</v>
      </c>
      <c r="D12" s="183">
        <v>60</v>
      </c>
      <c r="E12" s="193" t="s">
        <v>33</v>
      </c>
      <c r="F12" s="247" t="s">
        <v>30</v>
      </c>
      <c r="G12" s="183">
        <v>0</v>
      </c>
      <c r="H12" s="183">
        <v>0</v>
      </c>
      <c r="I12" s="401">
        <f>G12-H12</f>
        <v>0</v>
      </c>
      <c r="J12" s="19"/>
      <c r="K12" s="19"/>
      <c r="L12" s="19"/>
      <c r="M12" s="19"/>
      <c r="N12" s="19"/>
      <c r="O12" s="19"/>
      <c r="P12" s="80"/>
      <c r="Q12" s="19">
        <v>0</v>
      </c>
      <c r="R12" s="19">
        <v>0</v>
      </c>
      <c r="S12" s="19">
        <f t="shared" si="0"/>
        <v>0</v>
      </c>
      <c r="T12" s="19"/>
      <c r="U12" s="3"/>
    </row>
    <row r="13" spans="1:21" hidden="1">
      <c r="A13" s="19">
        <v>12</v>
      </c>
      <c r="B13" s="314" t="s">
        <v>43</v>
      </c>
      <c r="C13" s="191" t="s">
        <v>45</v>
      </c>
      <c r="D13" s="183">
        <v>60</v>
      </c>
      <c r="E13" s="193" t="s">
        <v>33</v>
      </c>
      <c r="F13" s="247" t="s">
        <v>30</v>
      </c>
      <c r="G13" s="183">
        <v>0</v>
      </c>
      <c r="H13" s="183">
        <v>0</v>
      </c>
      <c r="I13" s="401">
        <f>G13-H13</f>
        <v>0</v>
      </c>
      <c r="J13" s="19"/>
      <c r="K13" s="19"/>
      <c r="L13" s="19"/>
      <c r="M13" s="19"/>
      <c r="N13" s="19"/>
      <c r="O13" s="19"/>
      <c r="P13" s="80"/>
      <c r="Q13" s="19">
        <v>0</v>
      </c>
      <c r="R13" s="19">
        <v>0</v>
      </c>
      <c r="S13" s="19">
        <f t="shared" si="0"/>
        <v>0</v>
      </c>
      <c r="T13" s="19"/>
      <c r="U13" s="3"/>
    </row>
    <row r="14" spans="1:21" hidden="1">
      <c r="A14" s="19">
        <v>13</v>
      </c>
      <c r="B14" s="314" t="s">
        <v>46</v>
      </c>
      <c r="C14" s="191" t="s">
        <v>47</v>
      </c>
      <c r="D14" s="192">
        <v>70</v>
      </c>
      <c r="E14" s="191" t="s">
        <v>33</v>
      </c>
      <c r="F14" s="247" t="s">
        <v>30</v>
      </c>
      <c r="G14" s="183">
        <v>324</v>
      </c>
      <c r="H14" s="183">
        <v>324</v>
      </c>
      <c r="I14" s="401">
        <f>G14-H14</f>
        <v>0</v>
      </c>
      <c r="J14" s="19"/>
      <c r="K14" s="19"/>
      <c r="L14" s="19"/>
      <c r="M14" s="19"/>
      <c r="N14" s="19"/>
      <c r="O14" s="19"/>
      <c r="P14" s="80"/>
      <c r="Q14" s="19">
        <v>0</v>
      </c>
      <c r="R14" s="19">
        <v>0</v>
      </c>
      <c r="S14" s="19">
        <f t="shared" si="0"/>
        <v>0</v>
      </c>
      <c r="T14" s="19"/>
      <c r="U14" s="3"/>
    </row>
    <row r="15" spans="1:21" hidden="1">
      <c r="A15" s="19">
        <v>14</v>
      </c>
      <c r="B15" s="314" t="s">
        <v>48</v>
      </c>
      <c r="C15" s="191" t="s">
        <v>49</v>
      </c>
      <c r="D15" s="192">
        <v>65</v>
      </c>
      <c r="E15" s="191" t="s">
        <v>50</v>
      </c>
      <c r="F15" s="183" t="s">
        <v>30</v>
      </c>
      <c r="G15" s="183">
        <v>800</v>
      </c>
      <c r="H15" s="183">
        <v>800</v>
      </c>
      <c r="I15" s="401">
        <f>G15-H15</f>
        <v>0</v>
      </c>
      <c r="J15" s="19"/>
      <c r="K15" s="19"/>
      <c r="L15" s="19"/>
      <c r="M15" s="19"/>
      <c r="N15" s="19"/>
      <c r="O15" s="19"/>
      <c r="P15" s="80"/>
      <c r="Q15" s="19">
        <v>0</v>
      </c>
      <c r="R15" s="19">
        <v>0</v>
      </c>
      <c r="S15" s="19">
        <f t="shared" si="0"/>
        <v>0</v>
      </c>
      <c r="T15" s="19"/>
      <c r="U15" s="3"/>
    </row>
    <row r="16" spans="1:21" hidden="1">
      <c r="A16" s="19">
        <v>15</v>
      </c>
      <c r="B16" s="314" t="s">
        <v>48</v>
      </c>
      <c r="C16" s="191" t="s">
        <v>51</v>
      </c>
      <c r="D16" s="192">
        <v>65</v>
      </c>
      <c r="E16" s="191" t="s">
        <v>50</v>
      </c>
      <c r="F16" s="183" t="s">
        <v>30</v>
      </c>
      <c r="G16" s="183">
        <v>1600</v>
      </c>
      <c r="H16" s="183">
        <v>1600</v>
      </c>
      <c r="I16" s="401">
        <f>G16-H16</f>
        <v>0</v>
      </c>
      <c r="J16" s="19"/>
      <c r="K16" s="19"/>
      <c r="L16" s="19"/>
      <c r="M16" s="19"/>
      <c r="N16" s="19"/>
      <c r="O16" s="19"/>
      <c r="P16" s="80"/>
      <c r="Q16" s="19">
        <v>0</v>
      </c>
      <c r="R16" s="19">
        <v>0</v>
      </c>
      <c r="S16" s="19">
        <f t="shared" si="0"/>
        <v>0</v>
      </c>
      <c r="T16" s="19"/>
      <c r="U16" s="3"/>
    </row>
    <row r="17" spans="1:21" hidden="1">
      <c r="A17" s="19">
        <v>16</v>
      </c>
      <c r="B17" s="314" t="s">
        <v>52</v>
      </c>
      <c r="C17" s="191" t="s">
        <v>53</v>
      </c>
      <c r="D17" s="192">
        <v>70</v>
      </c>
      <c r="E17" s="191" t="s">
        <v>50</v>
      </c>
      <c r="F17" s="183" t="s">
        <v>30</v>
      </c>
      <c r="G17" s="183">
        <v>1255</v>
      </c>
      <c r="H17" s="183">
        <f>977+3+6+48+23+52+62+48+15+18+3</f>
        <v>1255</v>
      </c>
      <c r="I17" s="401">
        <f>G17-H17</f>
        <v>0</v>
      </c>
      <c r="J17" s="19">
        <v>0</v>
      </c>
      <c r="K17" s="19"/>
      <c r="L17" s="19"/>
      <c r="M17" s="19"/>
      <c r="N17" s="19"/>
      <c r="O17" s="19"/>
      <c r="P17" s="80"/>
      <c r="Q17" s="19">
        <v>0</v>
      </c>
      <c r="R17" s="19">
        <v>0</v>
      </c>
      <c r="S17" s="19">
        <f t="shared" si="0"/>
        <v>0</v>
      </c>
      <c r="T17" s="19"/>
      <c r="U17" s="3"/>
    </row>
    <row r="18" spans="1:21" hidden="1">
      <c r="A18" s="19">
        <v>17</v>
      </c>
      <c r="B18" s="314" t="s">
        <v>54</v>
      </c>
      <c r="C18" s="191" t="s">
        <v>55</v>
      </c>
      <c r="D18" s="183"/>
      <c r="E18" s="193" t="s">
        <v>33</v>
      </c>
      <c r="F18" s="247" t="s">
        <v>30</v>
      </c>
      <c r="G18" s="183">
        <v>50</v>
      </c>
      <c r="H18" s="183">
        <v>36</v>
      </c>
      <c r="I18" s="401">
        <f>G18-H18</f>
        <v>14</v>
      </c>
      <c r="J18" s="19">
        <v>14</v>
      </c>
      <c r="K18" s="19"/>
      <c r="L18" s="19"/>
      <c r="M18" s="19"/>
      <c r="N18" s="19"/>
      <c r="O18" s="19"/>
      <c r="P18" s="80"/>
      <c r="Q18" s="19">
        <v>0</v>
      </c>
      <c r="R18" s="19">
        <v>0</v>
      </c>
      <c r="S18" s="19">
        <f t="shared" si="0"/>
        <v>14</v>
      </c>
      <c r="T18" s="19"/>
      <c r="U18" s="3"/>
    </row>
    <row r="19" spans="1:21" hidden="1">
      <c r="A19" s="19">
        <v>18</v>
      </c>
      <c r="B19" s="314" t="s">
        <v>54</v>
      </c>
      <c r="C19" s="191" t="s">
        <v>56</v>
      </c>
      <c r="D19" s="183"/>
      <c r="E19" s="193" t="s">
        <v>33</v>
      </c>
      <c r="F19" s="247" t="s">
        <v>30</v>
      </c>
      <c r="G19" s="183">
        <v>50</v>
      </c>
      <c r="H19" s="183">
        <v>40</v>
      </c>
      <c r="I19" s="401">
        <f>G19-H19</f>
        <v>10</v>
      </c>
      <c r="J19" s="19">
        <v>10</v>
      </c>
      <c r="K19" s="19"/>
      <c r="L19" s="19"/>
      <c r="M19" s="19"/>
      <c r="N19" s="19"/>
      <c r="O19" s="19"/>
      <c r="P19" s="80"/>
      <c r="Q19" s="19">
        <v>0</v>
      </c>
      <c r="R19" s="19">
        <v>0</v>
      </c>
      <c r="S19" s="19">
        <f t="shared" si="0"/>
        <v>10</v>
      </c>
      <c r="T19" s="19"/>
      <c r="U19" s="3"/>
    </row>
    <row r="20" spans="1:21" hidden="1">
      <c r="A20" s="19">
        <v>19</v>
      </c>
      <c r="B20" s="314" t="s">
        <v>57</v>
      </c>
      <c r="C20" s="191" t="s">
        <v>22</v>
      </c>
      <c r="D20" s="183"/>
      <c r="E20" s="191" t="s">
        <v>23</v>
      </c>
      <c r="F20" s="183" t="s">
        <v>30</v>
      </c>
      <c r="G20" s="183">
        <v>550</v>
      </c>
      <c r="H20" s="183">
        <f>185+57</f>
        <v>242</v>
      </c>
      <c r="I20" s="401">
        <f>G20-H20</f>
        <v>308</v>
      </c>
      <c r="J20" s="19">
        <v>200</v>
      </c>
      <c r="K20" s="19">
        <v>108</v>
      </c>
      <c r="L20" s="19"/>
      <c r="M20" s="19"/>
      <c r="N20" s="19"/>
      <c r="O20" s="19"/>
      <c r="P20" s="80"/>
      <c r="Q20" s="19">
        <v>0</v>
      </c>
      <c r="R20" s="19">
        <v>0</v>
      </c>
      <c r="S20" s="19">
        <f t="shared" si="0"/>
        <v>308</v>
      </c>
      <c r="T20" s="19"/>
      <c r="U20" s="3"/>
    </row>
    <row r="21" spans="1:21">
      <c r="A21" s="19">
        <v>20</v>
      </c>
      <c r="B21" s="316" t="s">
        <v>58</v>
      </c>
      <c r="C21" s="29" t="s">
        <v>29</v>
      </c>
      <c r="D21" s="29"/>
      <c r="E21" s="195" t="s">
        <v>23</v>
      </c>
      <c r="F21" s="35" t="s">
        <v>59</v>
      </c>
      <c r="G21" s="405">
        <v>275</v>
      </c>
      <c r="H21" s="30">
        <v>0</v>
      </c>
      <c r="I21" s="30">
        <f>G21-H21</f>
        <v>275</v>
      </c>
      <c r="J21" s="19"/>
      <c r="K21" s="19"/>
      <c r="L21" s="19"/>
      <c r="M21" s="19">
        <v>275</v>
      </c>
      <c r="N21" s="19"/>
      <c r="O21" s="19"/>
      <c r="P21" s="80"/>
      <c r="Q21" s="19">
        <v>0</v>
      </c>
      <c r="R21" s="19">
        <v>0</v>
      </c>
      <c r="S21" s="19">
        <f>SUM(J21:P21)</f>
        <v>275</v>
      </c>
      <c r="T21" s="19"/>
      <c r="U21" s="3"/>
    </row>
    <row r="22" spans="1:21">
      <c r="A22" s="19">
        <v>21</v>
      </c>
      <c r="B22" s="316" t="s">
        <v>60</v>
      </c>
      <c r="C22" s="29" t="s">
        <v>61</v>
      </c>
      <c r="D22" s="29"/>
      <c r="E22" s="29" t="s">
        <v>23</v>
      </c>
      <c r="F22" s="30" t="s">
        <v>59</v>
      </c>
      <c r="G22" s="405">
        <v>800</v>
      </c>
      <c r="H22" s="30">
        <v>0</v>
      </c>
      <c r="I22" s="30">
        <f>G22-H22</f>
        <v>800</v>
      </c>
      <c r="J22" s="19">
        <v>100</v>
      </c>
      <c r="K22" s="19">
        <v>400</v>
      </c>
      <c r="L22" s="19">
        <v>300</v>
      </c>
      <c r="M22" s="19"/>
      <c r="N22" s="19"/>
      <c r="O22" s="19"/>
      <c r="P22" s="80"/>
      <c r="Q22" s="19">
        <v>0</v>
      </c>
      <c r="R22" s="19">
        <v>0</v>
      </c>
      <c r="S22" s="19">
        <f>SUM(J22:P22)</f>
        <v>800</v>
      </c>
      <c r="T22" s="19"/>
      <c r="U22" s="3"/>
    </row>
    <row r="23" spans="1:21">
      <c r="A23" s="19">
        <v>22</v>
      </c>
      <c r="B23" s="316" t="s">
        <v>62</v>
      </c>
      <c r="C23" s="29" t="s">
        <v>22</v>
      </c>
      <c r="D23" s="29"/>
      <c r="E23" s="29" t="s">
        <v>23</v>
      </c>
      <c r="F23" s="30" t="s">
        <v>59</v>
      </c>
      <c r="G23" s="405">
        <v>400</v>
      </c>
      <c r="H23" s="30">
        <v>0</v>
      </c>
      <c r="I23" s="30">
        <f>G23-H23</f>
        <v>400</v>
      </c>
      <c r="J23" s="19"/>
      <c r="K23" s="19"/>
      <c r="L23" s="19"/>
      <c r="M23" s="19">
        <v>400</v>
      </c>
      <c r="N23" s="19"/>
      <c r="O23" s="19"/>
      <c r="P23" s="80"/>
      <c r="Q23" s="19">
        <v>0</v>
      </c>
      <c r="R23" s="19">
        <v>0</v>
      </c>
      <c r="S23" s="19">
        <f>SUM(J23:P23)</f>
        <v>400</v>
      </c>
      <c r="T23" s="19"/>
      <c r="U23" s="3"/>
    </row>
    <row r="24" spans="1:21">
      <c r="A24" s="19">
        <v>23</v>
      </c>
      <c r="B24" s="316" t="s">
        <v>63</v>
      </c>
      <c r="C24" s="29" t="s">
        <v>36</v>
      </c>
      <c r="D24" s="29"/>
      <c r="E24" s="195" t="s">
        <v>33</v>
      </c>
      <c r="F24" s="35" t="s">
        <v>59</v>
      </c>
      <c r="G24" s="405">
        <v>200</v>
      </c>
      <c r="H24" s="30">
        <f>135+65</f>
        <v>200</v>
      </c>
      <c r="I24" s="35">
        <f>G24-H24</f>
        <v>0</v>
      </c>
      <c r="J24" s="72"/>
      <c r="K24" s="72"/>
      <c r="L24" s="72"/>
      <c r="M24" s="72"/>
      <c r="N24" s="19"/>
      <c r="O24" s="19"/>
      <c r="P24" s="80"/>
      <c r="Q24" s="19">
        <v>0</v>
      </c>
      <c r="R24" s="19">
        <v>0</v>
      </c>
      <c r="S24" s="19">
        <f t="shared" ref="S24:S68" si="1">SUM(J24:P24)</f>
        <v>0</v>
      </c>
      <c r="T24" s="19"/>
      <c r="U24" s="3"/>
    </row>
    <row r="25" spans="1:21">
      <c r="A25" s="19">
        <v>24</v>
      </c>
      <c r="B25" s="316" t="s">
        <v>64</v>
      </c>
      <c r="C25" s="29" t="s">
        <v>37</v>
      </c>
      <c r="D25" s="29"/>
      <c r="E25" s="195" t="s">
        <v>33</v>
      </c>
      <c r="F25" s="35" t="s">
        <v>59</v>
      </c>
      <c r="G25" s="405">
        <v>0</v>
      </c>
      <c r="H25" s="30">
        <v>0</v>
      </c>
      <c r="I25" s="35">
        <f>G25-H25</f>
        <v>0</v>
      </c>
      <c r="J25" s="19"/>
      <c r="K25" s="19"/>
      <c r="L25" s="19"/>
      <c r="M25" s="19"/>
      <c r="N25" s="67"/>
      <c r="O25" s="19"/>
      <c r="P25" s="80"/>
      <c r="Q25" s="19">
        <v>0</v>
      </c>
      <c r="R25" s="19">
        <v>0</v>
      </c>
      <c r="S25" s="19">
        <f t="shared" si="1"/>
        <v>0</v>
      </c>
      <c r="T25" s="19"/>
      <c r="U25" s="3"/>
    </row>
    <row r="26" spans="1:21">
      <c r="A26" s="19">
        <v>25</v>
      </c>
      <c r="B26" s="316" t="s">
        <v>65</v>
      </c>
      <c r="C26" s="29" t="s">
        <v>39</v>
      </c>
      <c r="D26" s="196"/>
      <c r="E26" s="197" t="s">
        <v>33</v>
      </c>
      <c r="F26" s="35" t="s">
        <v>59</v>
      </c>
      <c r="G26" s="405">
        <v>3000</v>
      </c>
      <c r="H26" s="30">
        <v>0</v>
      </c>
      <c r="I26" s="35">
        <f>G26-H26</f>
        <v>3000</v>
      </c>
      <c r="J26" s="19">
        <v>500</v>
      </c>
      <c r="K26" s="19">
        <v>1500</v>
      </c>
      <c r="L26" s="19">
        <v>1000</v>
      </c>
      <c r="M26" s="19"/>
      <c r="N26" s="67"/>
      <c r="O26" s="19"/>
      <c r="P26" s="80"/>
      <c r="Q26" s="19">
        <v>0</v>
      </c>
      <c r="R26" s="19">
        <v>0</v>
      </c>
      <c r="S26" s="19">
        <f t="shared" si="1"/>
        <v>3000</v>
      </c>
      <c r="T26" s="19"/>
      <c r="U26" s="3"/>
    </row>
    <row r="27" spans="1:21">
      <c r="A27" s="19">
        <v>26</v>
      </c>
      <c r="B27" s="316" t="s">
        <v>66</v>
      </c>
      <c r="C27" s="29" t="s">
        <v>44</v>
      </c>
      <c r="D27" s="29"/>
      <c r="E27" s="195" t="s">
        <v>33</v>
      </c>
      <c r="F27" s="35" t="s">
        <v>59</v>
      </c>
      <c r="G27" s="405">
        <v>0</v>
      </c>
      <c r="H27" s="30">
        <v>0</v>
      </c>
      <c r="I27" s="35">
        <f>G27-H27</f>
        <v>0</v>
      </c>
      <c r="J27" s="19"/>
      <c r="K27" s="19"/>
      <c r="L27" s="19"/>
      <c r="M27" s="19">
        <v>0</v>
      </c>
      <c r="N27" s="67"/>
      <c r="O27" s="19"/>
      <c r="P27" s="80"/>
      <c r="Q27" s="19">
        <v>0</v>
      </c>
      <c r="R27" s="19">
        <v>0</v>
      </c>
      <c r="S27" s="19">
        <f t="shared" si="1"/>
        <v>0</v>
      </c>
      <c r="T27" s="19"/>
      <c r="U27" s="3"/>
    </row>
    <row r="28" spans="1:21">
      <c r="A28" s="19">
        <v>27</v>
      </c>
      <c r="B28" s="316" t="s">
        <v>67</v>
      </c>
      <c r="C28" s="29" t="s">
        <v>45</v>
      </c>
      <c r="D28" s="29"/>
      <c r="E28" s="195" t="s">
        <v>33</v>
      </c>
      <c r="F28" s="35" t="s">
        <v>59</v>
      </c>
      <c r="G28" s="405">
        <v>0</v>
      </c>
      <c r="H28" s="30">
        <v>0</v>
      </c>
      <c r="I28" s="35">
        <f>G28-H28</f>
        <v>0</v>
      </c>
      <c r="J28" s="19"/>
      <c r="K28" s="19"/>
      <c r="L28" s="19"/>
      <c r="M28" s="19">
        <v>0</v>
      </c>
      <c r="N28" s="67"/>
      <c r="O28" s="19"/>
      <c r="P28" s="80"/>
      <c r="Q28" s="19">
        <v>0</v>
      </c>
      <c r="R28" s="19">
        <v>0</v>
      </c>
      <c r="S28" s="19">
        <f t="shared" si="1"/>
        <v>0</v>
      </c>
      <c r="T28" s="19"/>
      <c r="U28" s="3"/>
    </row>
    <row r="29" spans="1:21">
      <c r="A29" s="19">
        <v>28</v>
      </c>
      <c r="B29" s="316" t="s">
        <v>68</v>
      </c>
      <c r="C29" s="29" t="s">
        <v>47</v>
      </c>
      <c r="D29" s="29"/>
      <c r="E29" s="195" t="s">
        <v>33</v>
      </c>
      <c r="F29" s="35" t="s">
        <v>59</v>
      </c>
      <c r="G29" s="405">
        <v>324</v>
      </c>
      <c r="H29" s="30">
        <f>54+40+35+35+40+32+40+12+34</f>
        <v>322</v>
      </c>
      <c r="I29" s="35">
        <f>G29-H29</f>
        <v>2</v>
      </c>
      <c r="J29" s="19"/>
      <c r="K29" s="19"/>
      <c r="L29" s="19"/>
      <c r="M29" s="19"/>
      <c r="N29" s="67"/>
      <c r="O29" s="19"/>
      <c r="P29" s="80"/>
      <c r="Q29" s="19">
        <f>4+20+96</f>
        <v>120</v>
      </c>
      <c r="R29" s="19">
        <v>50</v>
      </c>
      <c r="S29" s="19">
        <f t="shared" si="1"/>
        <v>0</v>
      </c>
      <c r="T29" s="19"/>
      <c r="U29" s="3"/>
    </row>
    <row r="30" spans="1:21">
      <c r="A30" s="19">
        <v>29</v>
      </c>
      <c r="B30" s="316" t="s">
        <v>69</v>
      </c>
      <c r="C30" s="29" t="s">
        <v>49</v>
      </c>
      <c r="D30" s="29"/>
      <c r="E30" s="29" t="s">
        <v>23</v>
      </c>
      <c r="F30" s="35" t="s">
        <v>59</v>
      </c>
      <c r="G30" s="405">
        <v>300</v>
      </c>
      <c r="H30" s="30">
        <f>243</f>
        <v>243</v>
      </c>
      <c r="I30" s="35">
        <f>G30-H30</f>
        <v>57</v>
      </c>
      <c r="J30" s="19"/>
      <c r="K30" s="19">
        <v>57</v>
      </c>
      <c r="L30" s="19"/>
      <c r="M30" s="19"/>
      <c r="N30" s="67"/>
      <c r="O30" s="19"/>
      <c r="P30" s="80"/>
      <c r="Q30" s="19">
        <v>0</v>
      </c>
      <c r="R30" s="19">
        <v>0</v>
      </c>
      <c r="S30" s="19">
        <f t="shared" si="1"/>
        <v>57</v>
      </c>
      <c r="T30" s="19"/>
      <c r="U30" s="3"/>
    </row>
    <row r="31" spans="1:21">
      <c r="A31" s="19">
        <v>30</v>
      </c>
      <c r="B31" s="316" t="s">
        <v>70</v>
      </c>
      <c r="C31" s="29" t="s">
        <v>51</v>
      </c>
      <c r="D31" s="29"/>
      <c r="E31" s="29" t="s">
        <v>23</v>
      </c>
      <c r="F31" s="35" t="s">
        <v>59</v>
      </c>
      <c r="G31" s="405">
        <v>700</v>
      </c>
      <c r="H31" s="30">
        <v>487</v>
      </c>
      <c r="I31" s="35">
        <f>G31-H31</f>
        <v>213</v>
      </c>
      <c r="J31" s="19"/>
      <c r="K31" s="19">
        <v>213</v>
      </c>
      <c r="L31" s="19"/>
      <c r="M31" s="19"/>
      <c r="N31" s="67"/>
      <c r="O31" s="19"/>
      <c r="P31" s="80"/>
      <c r="Q31" s="19">
        <v>0</v>
      </c>
      <c r="R31" s="19">
        <v>0</v>
      </c>
      <c r="S31" s="19">
        <f t="shared" si="1"/>
        <v>213</v>
      </c>
      <c r="T31" s="19"/>
      <c r="U31" s="3"/>
    </row>
    <row r="32" spans="1:21">
      <c r="A32" s="19">
        <v>31</v>
      </c>
      <c r="B32" s="316" t="s">
        <v>71</v>
      </c>
      <c r="C32" s="29" t="s">
        <v>72</v>
      </c>
      <c r="D32" s="29"/>
      <c r="E32" s="29" t="s">
        <v>23</v>
      </c>
      <c r="F32" s="35" t="s">
        <v>59</v>
      </c>
      <c r="G32" s="405">
        <v>450</v>
      </c>
      <c r="H32" s="30">
        <v>0</v>
      </c>
      <c r="I32" s="35">
        <f>G32-H32</f>
        <v>450</v>
      </c>
      <c r="J32" s="19"/>
      <c r="K32" s="19">
        <v>200</v>
      </c>
      <c r="L32" s="19">
        <v>250</v>
      </c>
      <c r="M32" s="19"/>
      <c r="N32" s="67"/>
      <c r="O32" s="19"/>
      <c r="P32" s="80"/>
      <c r="Q32" s="19">
        <v>0</v>
      </c>
      <c r="R32" s="19">
        <v>0</v>
      </c>
      <c r="S32" s="19">
        <f t="shared" si="1"/>
        <v>450</v>
      </c>
      <c r="T32" s="19"/>
      <c r="U32" s="3"/>
    </row>
    <row r="33" spans="1:21">
      <c r="A33" s="19">
        <v>32</v>
      </c>
      <c r="B33" s="312" t="s">
        <v>73</v>
      </c>
      <c r="C33" s="24" t="s">
        <v>55</v>
      </c>
      <c r="D33" s="24"/>
      <c r="E33" s="24" t="s">
        <v>33</v>
      </c>
      <c r="F33" s="25" t="s">
        <v>74</v>
      </c>
      <c r="G33" s="25">
        <v>0</v>
      </c>
      <c r="H33" s="25">
        <v>0</v>
      </c>
      <c r="I33" s="34">
        <f>G33-H33</f>
        <v>0</v>
      </c>
      <c r="J33" s="19"/>
      <c r="K33" s="19"/>
      <c r="L33" s="19"/>
      <c r="M33" s="19"/>
      <c r="N33" s="67"/>
      <c r="O33" s="19"/>
      <c r="P33" s="80"/>
      <c r="Q33" s="19">
        <v>0</v>
      </c>
      <c r="R33" s="19">
        <v>0</v>
      </c>
      <c r="S33" s="19">
        <f t="shared" si="1"/>
        <v>0</v>
      </c>
      <c r="T33" s="19"/>
      <c r="U33" s="3" t="s">
        <v>75</v>
      </c>
    </row>
    <row r="34" spans="1:21">
      <c r="A34" s="19">
        <v>33</v>
      </c>
      <c r="B34" s="312" t="s">
        <v>76</v>
      </c>
      <c r="C34" s="24" t="s">
        <v>56</v>
      </c>
      <c r="D34" s="24"/>
      <c r="E34" s="24" t="s">
        <v>33</v>
      </c>
      <c r="F34" s="25" t="s">
        <v>74</v>
      </c>
      <c r="G34" s="25">
        <v>0</v>
      </c>
      <c r="H34" s="25">
        <v>0</v>
      </c>
      <c r="I34" s="34">
        <f>G34-H34</f>
        <v>0</v>
      </c>
      <c r="J34" s="19"/>
      <c r="K34" s="19"/>
      <c r="L34" s="19"/>
      <c r="M34" s="19"/>
      <c r="N34" s="67"/>
      <c r="O34" s="19"/>
      <c r="P34" s="80"/>
      <c r="Q34" s="19">
        <v>0</v>
      </c>
      <c r="R34" s="19">
        <v>0</v>
      </c>
      <c r="S34" s="19">
        <f t="shared" si="1"/>
        <v>0</v>
      </c>
      <c r="T34" s="19"/>
      <c r="U34" s="3" t="s">
        <v>75</v>
      </c>
    </row>
    <row r="35" spans="1:21">
      <c r="A35" s="19">
        <v>34</v>
      </c>
      <c r="B35" s="312" t="s">
        <v>58</v>
      </c>
      <c r="C35" s="24" t="s">
        <v>29</v>
      </c>
      <c r="D35" s="24"/>
      <c r="E35" s="308" t="s">
        <v>23</v>
      </c>
      <c r="F35" s="34" t="s">
        <v>74</v>
      </c>
      <c r="G35" s="405">
        <v>350</v>
      </c>
      <c r="H35" s="25">
        <v>0</v>
      </c>
      <c r="I35" s="34">
        <f>G35-H35</f>
        <v>350</v>
      </c>
      <c r="J35" s="19"/>
      <c r="K35" s="19"/>
      <c r="L35" s="19"/>
      <c r="M35" s="19"/>
      <c r="N35" s="67">
        <v>200</v>
      </c>
      <c r="O35" s="19">
        <v>150</v>
      </c>
      <c r="P35" s="80"/>
      <c r="Q35" s="19">
        <v>0</v>
      </c>
      <c r="R35" s="19">
        <v>50</v>
      </c>
      <c r="S35" s="19">
        <f t="shared" si="1"/>
        <v>350</v>
      </c>
      <c r="T35" s="19"/>
      <c r="U35" s="3"/>
    </row>
    <row r="36" spans="1:21">
      <c r="A36" s="19">
        <v>35</v>
      </c>
      <c r="B36" s="312" t="s">
        <v>62</v>
      </c>
      <c r="C36" s="24" t="s">
        <v>22</v>
      </c>
      <c r="D36" s="24"/>
      <c r="E36" s="24" t="s">
        <v>23</v>
      </c>
      <c r="F36" s="25" t="s">
        <v>74</v>
      </c>
      <c r="G36" s="405">
        <v>550</v>
      </c>
      <c r="H36" s="25">
        <v>0</v>
      </c>
      <c r="I36" s="34">
        <f>G36-H36</f>
        <v>550</v>
      </c>
      <c r="J36" s="19"/>
      <c r="K36" s="19"/>
      <c r="L36" s="19"/>
      <c r="M36" s="19"/>
      <c r="N36" s="67">
        <v>300</v>
      </c>
      <c r="O36" s="19">
        <v>250</v>
      </c>
      <c r="P36" s="80"/>
      <c r="Q36" s="19">
        <v>0</v>
      </c>
      <c r="R36" s="19">
        <v>50</v>
      </c>
      <c r="S36" s="19">
        <f t="shared" si="1"/>
        <v>550</v>
      </c>
      <c r="T36" s="19"/>
      <c r="U36" s="3"/>
    </row>
    <row r="37" spans="1:21">
      <c r="A37" s="19">
        <v>36</v>
      </c>
      <c r="B37" s="312" t="s">
        <v>60</v>
      </c>
      <c r="C37" s="24" t="s">
        <v>72</v>
      </c>
      <c r="D37" s="24"/>
      <c r="E37" s="24" t="s">
        <v>23</v>
      </c>
      <c r="F37" s="25" t="s">
        <v>74</v>
      </c>
      <c r="G37" s="405">
        <v>450</v>
      </c>
      <c r="H37" s="25">
        <v>0</v>
      </c>
      <c r="I37" s="34">
        <f>G37-H37</f>
        <v>450</v>
      </c>
      <c r="J37" s="19"/>
      <c r="K37" s="19"/>
      <c r="L37" s="19"/>
      <c r="M37" s="19">
        <v>450</v>
      </c>
      <c r="N37" s="67"/>
      <c r="O37" s="19"/>
      <c r="P37" s="80"/>
      <c r="Q37" s="19">
        <v>0</v>
      </c>
      <c r="R37" s="19">
        <v>0</v>
      </c>
      <c r="S37" s="19">
        <f t="shared" si="1"/>
        <v>450</v>
      </c>
      <c r="T37" s="19"/>
      <c r="U37" s="3"/>
    </row>
    <row r="38" spans="1:21">
      <c r="A38" s="19">
        <v>37</v>
      </c>
      <c r="B38" s="317" t="s">
        <v>71</v>
      </c>
      <c r="C38" s="109" t="s">
        <v>61</v>
      </c>
      <c r="D38" s="109"/>
      <c r="E38" s="109" t="s">
        <v>23</v>
      </c>
      <c r="F38" s="61" t="s">
        <v>74</v>
      </c>
      <c r="G38" s="406">
        <v>800</v>
      </c>
      <c r="H38" s="50">
        <v>0</v>
      </c>
      <c r="I38" s="61">
        <f>G38-H38</f>
        <v>800</v>
      </c>
      <c r="J38" s="173"/>
      <c r="K38" s="173"/>
      <c r="L38" s="173"/>
      <c r="M38" s="173">
        <v>200</v>
      </c>
      <c r="N38" s="19">
        <v>600</v>
      </c>
      <c r="O38" s="19"/>
      <c r="P38" s="80"/>
      <c r="Q38" s="19">
        <f>35+36</f>
        <v>71</v>
      </c>
      <c r="R38" s="19">
        <v>0</v>
      </c>
      <c r="S38" s="19">
        <f t="shared" si="1"/>
        <v>800</v>
      </c>
      <c r="T38" s="19"/>
      <c r="U38" s="3"/>
    </row>
    <row r="39" spans="1:21">
      <c r="A39" s="19">
        <v>38</v>
      </c>
      <c r="B39" s="312" t="s">
        <v>54</v>
      </c>
      <c r="C39" s="24" t="s">
        <v>77</v>
      </c>
      <c r="D39" s="25"/>
      <c r="E39" s="24" t="s">
        <v>33</v>
      </c>
      <c r="F39" s="25" t="s">
        <v>74</v>
      </c>
      <c r="G39" s="25">
        <v>0</v>
      </c>
      <c r="H39" s="25">
        <v>0</v>
      </c>
      <c r="I39" s="34">
        <f>G39-H39</f>
        <v>0</v>
      </c>
      <c r="J39" s="19"/>
      <c r="K39" s="19"/>
      <c r="L39" s="19"/>
      <c r="M39" s="19"/>
      <c r="N39" s="19"/>
      <c r="O39" s="19"/>
      <c r="P39" s="80"/>
      <c r="Q39" s="19">
        <v>0</v>
      </c>
      <c r="R39" s="19">
        <v>0</v>
      </c>
      <c r="S39" s="19">
        <f t="shared" si="1"/>
        <v>0</v>
      </c>
      <c r="T39" s="19"/>
      <c r="U39" s="3" t="s">
        <v>75</v>
      </c>
    </row>
    <row r="40" spans="1:21">
      <c r="A40" s="19">
        <v>39</v>
      </c>
      <c r="B40" s="312" t="s">
        <v>54</v>
      </c>
      <c r="C40" s="24" t="s">
        <v>78</v>
      </c>
      <c r="D40" s="25"/>
      <c r="E40" s="24" t="s">
        <v>33</v>
      </c>
      <c r="F40" s="25" t="s">
        <v>74</v>
      </c>
      <c r="G40" s="25">
        <v>0</v>
      </c>
      <c r="H40" s="25">
        <v>0</v>
      </c>
      <c r="I40" s="34">
        <f>G40-H40</f>
        <v>0</v>
      </c>
      <c r="J40" s="19"/>
      <c r="K40" s="19"/>
      <c r="L40" s="19"/>
      <c r="M40" s="19"/>
      <c r="N40" s="19"/>
      <c r="O40" s="19"/>
      <c r="P40" s="80"/>
      <c r="Q40" s="19">
        <v>0</v>
      </c>
      <c r="R40" s="19">
        <v>0</v>
      </c>
      <c r="S40" s="19">
        <f t="shared" si="1"/>
        <v>0</v>
      </c>
      <c r="T40" s="19"/>
      <c r="U40" s="3" t="s">
        <v>75</v>
      </c>
    </row>
    <row r="41" spans="1:21">
      <c r="A41" s="19">
        <v>40</v>
      </c>
      <c r="B41" s="312" t="s">
        <v>63</v>
      </c>
      <c r="C41" s="24" t="s">
        <v>36</v>
      </c>
      <c r="D41" s="24"/>
      <c r="E41" s="24" t="s">
        <v>33</v>
      </c>
      <c r="F41" s="25" t="s">
        <v>74</v>
      </c>
      <c r="G41" s="405">
        <v>200</v>
      </c>
      <c r="H41" s="25">
        <v>200</v>
      </c>
      <c r="I41" s="34">
        <f>G41-H41</f>
        <v>0</v>
      </c>
      <c r="J41" s="19"/>
      <c r="K41" s="19"/>
      <c r="L41" s="19"/>
      <c r="M41" s="19"/>
      <c r="N41" s="19"/>
      <c r="O41" s="19"/>
      <c r="P41" s="80"/>
      <c r="Q41" s="19">
        <f>23+310</f>
        <v>333</v>
      </c>
      <c r="R41" s="19">
        <v>502</v>
      </c>
      <c r="S41" s="19">
        <f t="shared" si="1"/>
        <v>0</v>
      </c>
      <c r="T41" s="19"/>
      <c r="U41" s="3"/>
    </row>
    <row r="42" spans="1:21">
      <c r="A42" s="19">
        <v>41</v>
      </c>
      <c r="B42" s="312" t="s">
        <v>64</v>
      </c>
      <c r="C42" s="24" t="s">
        <v>37</v>
      </c>
      <c r="D42" s="24"/>
      <c r="E42" s="24" t="s">
        <v>33</v>
      </c>
      <c r="F42" s="25" t="s">
        <v>74</v>
      </c>
      <c r="G42" s="25">
        <v>0</v>
      </c>
      <c r="H42" s="25">
        <v>0</v>
      </c>
      <c r="I42" s="34">
        <f>G42-H42</f>
        <v>0</v>
      </c>
      <c r="J42" s="19"/>
      <c r="K42" s="19"/>
      <c r="L42" s="19"/>
      <c r="M42" s="19">
        <v>200</v>
      </c>
      <c r="N42" s="19"/>
      <c r="O42" s="19"/>
      <c r="P42" s="80"/>
      <c r="Q42" s="19">
        <f>44+219</f>
        <v>263</v>
      </c>
      <c r="R42" s="19">
        <v>14</v>
      </c>
      <c r="S42" s="19">
        <v>0</v>
      </c>
      <c r="T42" s="19"/>
      <c r="U42" s="3"/>
    </row>
    <row r="43" spans="1:21">
      <c r="A43" s="19">
        <v>42</v>
      </c>
      <c r="B43" s="312" t="s">
        <v>65</v>
      </c>
      <c r="C43" s="24" t="s">
        <v>39</v>
      </c>
      <c r="D43" s="24"/>
      <c r="E43" s="24" t="s">
        <v>33</v>
      </c>
      <c r="F43" s="25" t="s">
        <v>74</v>
      </c>
      <c r="G43" s="25">
        <v>6000</v>
      </c>
      <c r="H43" s="25">
        <v>0</v>
      </c>
      <c r="I43" s="34">
        <f>G43-H43</f>
        <v>6000</v>
      </c>
      <c r="J43" s="19"/>
      <c r="K43" s="19">
        <v>500</v>
      </c>
      <c r="L43" s="19">
        <v>500</v>
      </c>
      <c r="M43" s="19">
        <v>1000</v>
      </c>
      <c r="N43" s="19">
        <v>1000</v>
      </c>
      <c r="O43" s="19"/>
      <c r="P43" s="80"/>
      <c r="Q43" s="19">
        <f>240+209</f>
        <v>449</v>
      </c>
      <c r="R43" s="19">
        <f>63+1</f>
        <v>64</v>
      </c>
      <c r="S43" s="19">
        <f t="shared" si="1"/>
        <v>3000</v>
      </c>
      <c r="T43" s="19"/>
      <c r="U43" s="3"/>
    </row>
    <row r="44" spans="1:21">
      <c r="A44" s="19">
        <v>43</v>
      </c>
      <c r="B44" s="312" t="s">
        <v>66</v>
      </c>
      <c r="C44" s="24" t="s">
        <v>44</v>
      </c>
      <c r="D44" s="24"/>
      <c r="E44" s="24" t="s">
        <v>33</v>
      </c>
      <c r="F44" s="25" t="s">
        <v>74</v>
      </c>
      <c r="G44" s="25">
        <v>0</v>
      </c>
      <c r="H44" s="25">
        <v>0</v>
      </c>
      <c r="I44" s="34">
        <f>G44-H44</f>
        <v>0</v>
      </c>
      <c r="J44" s="19"/>
      <c r="K44" s="19"/>
      <c r="L44" s="19"/>
      <c r="M44" s="19"/>
      <c r="N44" s="19"/>
      <c r="O44" s="19"/>
      <c r="P44" s="80"/>
      <c r="Q44" s="19">
        <f>139+23+30</f>
        <v>192</v>
      </c>
      <c r="R44" s="19">
        <v>0</v>
      </c>
      <c r="S44" s="19">
        <f t="shared" si="1"/>
        <v>0</v>
      </c>
      <c r="T44" s="19">
        <v>200</v>
      </c>
      <c r="U44" s="3"/>
    </row>
    <row r="45" spans="1:21">
      <c r="A45" s="19">
        <v>44</v>
      </c>
      <c r="B45" s="312" t="s">
        <v>67</v>
      </c>
      <c r="C45" s="24" t="s">
        <v>45</v>
      </c>
      <c r="D45" s="24"/>
      <c r="E45" s="24" t="s">
        <v>33</v>
      </c>
      <c r="F45" s="25" t="s">
        <v>74</v>
      </c>
      <c r="G45" s="25">
        <v>0</v>
      </c>
      <c r="H45" s="25">
        <v>0</v>
      </c>
      <c r="I45" s="34">
        <f>G45-H45</f>
        <v>0</v>
      </c>
      <c r="J45" s="19"/>
      <c r="K45" s="19"/>
      <c r="L45" s="19"/>
      <c r="M45" s="19"/>
      <c r="N45" s="19"/>
      <c r="O45" s="19"/>
      <c r="P45" s="80"/>
      <c r="Q45" s="19">
        <f>56+22+25</f>
        <v>103</v>
      </c>
      <c r="R45" s="19">
        <v>0</v>
      </c>
      <c r="S45" s="19">
        <f t="shared" si="1"/>
        <v>0</v>
      </c>
      <c r="T45" s="19">
        <v>250</v>
      </c>
      <c r="U45" s="3"/>
    </row>
    <row r="46" spans="1:21">
      <c r="A46" s="19">
        <v>45</v>
      </c>
      <c r="B46" s="312"/>
      <c r="C46" s="24" t="s">
        <v>79</v>
      </c>
      <c r="D46" s="24"/>
      <c r="E46" s="24" t="s">
        <v>33</v>
      </c>
      <c r="F46" s="25" t="s">
        <v>74</v>
      </c>
      <c r="G46" s="25">
        <v>120</v>
      </c>
      <c r="H46" s="25"/>
      <c r="I46" s="34"/>
      <c r="J46" s="19"/>
      <c r="K46" s="19"/>
      <c r="L46" s="19">
        <v>120</v>
      </c>
      <c r="M46" s="19"/>
      <c r="N46" s="19"/>
      <c r="O46" s="19"/>
      <c r="P46" s="80"/>
      <c r="Q46" s="19"/>
      <c r="R46" s="19"/>
      <c r="S46" s="19">
        <f t="shared" si="1"/>
        <v>120</v>
      </c>
      <c r="T46" s="19"/>
      <c r="U46" s="3"/>
    </row>
    <row r="47" spans="1:21">
      <c r="A47" s="19">
        <v>46</v>
      </c>
      <c r="B47" s="312" t="s">
        <v>69</v>
      </c>
      <c r="C47" s="24" t="s">
        <v>49</v>
      </c>
      <c r="D47" s="24"/>
      <c r="E47" s="24" t="s">
        <v>23</v>
      </c>
      <c r="F47" s="25" t="s">
        <v>74</v>
      </c>
      <c r="G47" s="405">
        <v>400</v>
      </c>
      <c r="H47" s="25">
        <v>0</v>
      </c>
      <c r="I47" s="34">
        <f>G47-H47</f>
        <v>400</v>
      </c>
      <c r="J47" s="19"/>
      <c r="K47" s="19"/>
      <c r="L47" s="19"/>
      <c r="M47" s="19"/>
      <c r="N47" s="19"/>
      <c r="O47" s="19"/>
      <c r="P47" s="80">
        <v>200</v>
      </c>
      <c r="Q47" s="19">
        <f>410+0+33</f>
        <v>443</v>
      </c>
      <c r="R47" s="19">
        <v>204</v>
      </c>
      <c r="S47" s="19">
        <f t="shared" si="1"/>
        <v>200</v>
      </c>
      <c r="T47" s="19">
        <v>200</v>
      </c>
      <c r="U47" s="19"/>
    </row>
    <row r="48" spans="1:21">
      <c r="A48" s="19">
        <v>47</v>
      </c>
      <c r="B48" s="312" t="s">
        <v>70</v>
      </c>
      <c r="C48" s="24" t="s">
        <v>51</v>
      </c>
      <c r="D48" s="24"/>
      <c r="E48" s="24" t="s">
        <v>23</v>
      </c>
      <c r="F48" s="25" t="s">
        <v>74</v>
      </c>
      <c r="G48" s="405">
        <v>800</v>
      </c>
      <c r="H48" s="25">
        <v>0</v>
      </c>
      <c r="I48" s="34">
        <f>G48-H48</f>
        <v>800</v>
      </c>
      <c r="J48" s="19"/>
      <c r="K48" s="19"/>
      <c r="L48" s="19"/>
      <c r="M48" s="19"/>
      <c r="N48" s="19"/>
      <c r="O48" s="19"/>
      <c r="P48" s="80">
        <v>200</v>
      </c>
      <c r="Q48" s="19">
        <f>32+141</f>
        <v>173</v>
      </c>
      <c r="R48" s="19">
        <v>480</v>
      </c>
      <c r="S48" s="19">
        <f t="shared" si="1"/>
        <v>200</v>
      </c>
      <c r="T48" s="19">
        <v>400</v>
      </c>
      <c r="U48" s="19">
        <v>200</v>
      </c>
    </row>
    <row r="49" spans="1:22">
      <c r="A49" s="19">
        <v>48</v>
      </c>
      <c r="B49" s="312" t="s">
        <v>80</v>
      </c>
      <c r="C49" s="24" t="s">
        <v>53</v>
      </c>
      <c r="D49" s="24"/>
      <c r="E49" s="24" t="s">
        <v>23</v>
      </c>
      <c r="F49" s="50" t="s">
        <v>74</v>
      </c>
      <c r="G49" s="50">
        <v>0</v>
      </c>
      <c r="H49" s="50">
        <v>0</v>
      </c>
      <c r="I49" s="61">
        <f>G49-H49</f>
        <v>0</v>
      </c>
      <c r="J49" s="19"/>
      <c r="K49" s="19"/>
      <c r="L49" s="19"/>
      <c r="M49" s="19"/>
      <c r="N49" s="19"/>
      <c r="O49" s="19"/>
      <c r="P49" s="80"/>
      <c r="Q49" s="19">
        <f>657+34</f>
        <v>691</v>
      </c>
      <c r="R49" s="19">
        <v>0</v>
      </c>
      <c r="S49" s="19">
        <f t="shared" si="1"/>
        <v>0</v>
      </c>
      <c r="T49" s="19">
        <v>0</v>
      </c>
      <c r="U49" s="3"/>
    </row>
    <row r="50" spans="1:22">
      <c r="A50" s="19">
        <v>49</v>
      </c>
      <c r="B50" s="318" t="s">
        <v>71</v>
      </c>
      <c r="C50" s="280" t="s">
        <v>72</v>
      </c>
      <c r="D50" s="280"/>
      <c r="E50" s="342" t="s">
        <v>23</v>
      </c>
      <c r="F50" s="281" t="s">
        <v>81</v>
      </c>
      <c r="G50" s="405">
        <v>600</v>
      </c>
      <c r="H50" s="281">
        <v>0</v>
      </c>
      <c r="I50" s="403">
        <f>G50-H50</f>
        <v>600</v>
      </c>
      <c r="J50" s="19"/>
      <c r="K50" s="19"/>
      <c r="L50" s="19"/>
      <c r="M50" s="19"/>
      <c r="N50" s="19"/>
      <c r="O50" s="19">
        <v>400</v>
      </c>
      <c r="P50" s="80">
        <v>200</v>
      </c>
      <c r="Q50" s="19">
        <v>0</v>
      </c>
      <c r="R50" s="19">
        <v>0</v>
      </c>
      <c r="S50" s="19">
        <f t="shared" si="1"/>
        <v>600</v>
      </c>
      <c r="T50" s="19">
        <v>200</v>
      </c>
      <c r="U50" s="3"/>
    </row>
    <row r="51" spans="1:22">
      <c r="A51" s="19">
        <v>50</v>
      </c>
      <c r="B51" s="318" t="s">
        <v>58</v>
      </c>
      <c r="C51" s="280" t="s">
        <v>29</v>
      </c>
      <c r="D51" s="280"/>
      <c r="E51" s="342" t="s">
        <v>23</v>
      </c>
      <c r="F51" s="281" t="s">
        <v>81</v>
      </c>
      <c r="G51" s="405">
        <v>450</v>
      </c>
      <c r="H51" s="281">
        <v>0</v>
      </c>
      <c r="I51" s="403">
        <f>G51-H51</f>
        <v>450</v>
      </c>
      <c r="J51" s="19"/>
      <c r="K51" s="19"/>
      <c r="L51" s="19"/>
      <c r="M51" s="19"/>
      <c r="N51" s="19"/>
      <c r="O51" s="19">
        <v>200</v>
      </c>
      <c r="P51" s="80">
        <v>250</v>
      </c>
      <c r="Q51" s="19">
        <v>0</v>
      </c>
      <c r="R51" s="19">
        <v>0</v>
      </c>
      <c r="S51" s="19">
        <f t="shared" si="1"/>
        <v>450</v>
      </c>
      <c r="T51" s="19"/>
      <c r="U51" s="3"/>
    </row>
    <row r="52" spans="1:22">
      <c r="A52" s="19">
        <v>51</v>
      </c>
      <c r="B52" s="318" t="s">
        <v>73</v>
      </c>
      <c r="C52" s="318" t="s">
        <v>55</v>
      </c>
      <c r="D52" s="318"/>
      <c r="E52" s="343" t="s">
        <v>33</v>
      </c>
      <c r="F52" s="281" t="s">
        <v>81</v>
      </c>
      <c r="G52" s="281">
        <v>0</v>
      </c>
      <c r="H52" s="281">
        <v>0</v>
      </c>
      <c r="I52" s="403">
        <f>G52-H52</f>
        <v>0</v>
      </c>
      <c r="J52" s="19"/>
      <c r="K52" s="19"/>
      <c r="L52" s="19"/>
      <c r="M52" s="19"/>
      <c r="N52" s="19"/>
      <c r="O52" s="19"/>
      <c r="P52" s="80"/>
      <c r="Q52" s="19">
        <v>0</v>
      </c>
      <c r="R52" s="19">
        <v>0</v>
      </c>
      <c r="S52" s="19">
        <f t="shared" si="1"/>
        <v>0</v>
      </c>
      <c r="T52" s="19"/>
      <c r="U52" s="3"/>
      <c r="V52" t="s">
        <v>82</v>
      </c>
    </row>
    <row r="53" spans="1:22">
      <c r="A53" s="19">
        <v>52</v>
      </c>
      <c r="B53" s="318" t="s">
        <v>76</v>
      </c>
      <c r="C53" s="318" t="s">
        <v>56</v>
      </c>
      <c r="D53" s="318"/>
      <c r="E53" s="343" t="s">
        <v>33</v>
      </c>
      <c r="F53" s="281" t="s">
        <v>81</v>
      </c>
      <c r="G53" s="281">
        <v>0</v>
      </c>
      <c r="H53" s="281">
        <v>0</v>
      </c>
      <c r="I53" s="403">
        <f>G53-H53</f>
        <v>0</v>
      </c>
      <c r="J53" s="19"/>
      <c r="K53" s="19"/>
      <c r="L53" s="19"/>
      <c r="M53" s="19"/>
      <c r="N53" s="19"/>
      <c r="O53" s="19"/>
      <c r="P53" s="80"/>
      <c r="Q53" s="19">
        <v>0</v>
      </c>
      <c r="R53" s="19">
        <v>0</v>
      </c>
      <c r="S53" s="19">
        <f t="shared" si="1"/>
        <v>0</v>
      </c>
      <c r="T53" s="19"/>
      <c r="U53" s="3"/>
      <c r="V53" t="s">
        <v>82</v>
      </c>
    </row>
    <row r="54" spans="1:22">
      <c r="A54" s="19">
        <v>53</v>
      </c>
      <c r="B54" s="318" t="s">
        <v>83</v>
      </c>
      <c r="C54" s="280" t="s">
        <v>84</v>
      </c>
      <c r="D54" s="280"/>
      <c r="E54" s="342" t="s">
        <v>33</v>
      </c>
      <c r="F54" s="281" t="s">
        <v>81</v>
      </c>
      <c r="G54" s="281">
        <v>0</v>
      </c>
      <c r="H54" s="281">
        <v>0</v>
      </c>
      <c r="I54" s="403">
        <f>G54-H54</f>
        <v>0</v>
      </c>
      <c r="J54" s="19"/>
      <c r="K54" s="19"/>
      <c r="L54" s="19"/>
      <c r="M54" s="19"/>
      <c r="N54" s="19"/>
      <c r="O54" s="19"/>
      <c r="P54" s="80"/>
      <c r="Q54" s="19">
        <f>23+37</f>
        <v>60</v>
      </c>
      <c r="R54" s="19">
        <v>0</v>
      </c>
      <c r="S54" s="19">
        <f t="shared" si="1"/>
        <v>0</v>
      </c>
      <c r="T54" s="19">
        <v>200</v>
      </c>
      <c r="U54" s="3"/>
    </row>
    <row r="55" spans="1:22">
      <c r="A55" s="19">
        <v>54</v>
      </c>
      <c r="B55" s="318" t="s">
        <v>85</v>
      </c>
      <c r="C55" s="280" t="s">
        <v>34</v>
      </c>
      <c r="D55" s="280"/>
      <c r="E55" s="342" t="s">
        <v>33</v>
      </c>
      <c r="F55" s="281" t="s">
        <v>81</v>
      </c>
      <c r="G55" s="281">
        <v>0</v>
      </c>
      <c r="H55" s="281">
        <v>0</v>
      </c>
      <c r="I55" s="403">
        <f>G55-H55</f>
        <v>0</v>
      </c>
      <c r="J55" s="19"/>
      <c r="K55" s="19"/>
      <c r="L55" s="19"/>
      <c r="M55" s="19"/>
      <c r="N55" s="19"/>
      <c r="O55" s="19"/>
      <c r="P55" s="80"/>
      <c r="Q55" s="19">
        <f>19+30+54</f>
        <v>103</v>
      </c>
      <c r="R55" s="19">
        <v>0</v>
      </c>
      <c r="S55" s="19">
        <f t="shared" si="1"/>
        <v>0</v>
      </c>
      <c r="T55" s="19">
        <v>200</v>
      </c>
      <c r="U55" s="3"/>
    </row>
    <row r="56" spans="1:22">
      <c r="A56" s="19">
        <v>55</v>
      </c>
      <c r="B56" s="318" t="s">
        <v>63</v>
      </c>
      <c r="C56" s="280" t="s">
        <v>36</v>
      </c>
      <c r="D56" s="280"/>
      <c r="E56" s="342" t="s">
        <v>33</v>
      </c>
      <c r="F56" s="281" t="s">
        <v>81</v>
      </c>
      <c r="G56" s="281">
        <v>0</v>
      </c>
      <c r="H56" s="281">
        <v>0</v>
      </c>
      <c r="I56" s="403">
        <f>G56-H56</f>
        <v>0</v>
      </c>
      <c r="J56" s="19"/>
      <c r="K56" s="19"/>
      <c r="L56" s="19"/>
      <c r="M56" s="19"/>
      <c r="N56" s="19"/>
      <c r="O56" s="19"/>
      <c r="P56" s="80"/>
      <c r="Q56" s="19">
        <v>0</v>
      </c>
      <c r="R56" s="19">
        <v>0</v>
      </c>
      <c r="S56" s="19">
        <f t="shared" si="1"/>
        <v>0</v>
      </c>
      <c r="T56" s="19">
        <v>200</v>
      </c>
      <c r="U56" s="3"/>
    </row>
    <row r="57" spans="1:22">
      <c r="A57" s="19">
        <v>56</v>
      </c>
      <c r="B57" s="318" t="s">
        <v>64</v>
      </c>
      <c r="C57" s="280" t="s">
        <v>37</v>
      </c>
      <c r="D57" s="280"/>
      <c r="E57" s="342" t="s">
        <v>33</v>
      </c>
      <c r="F57" s="281" t="s">
        <v>81</v>
      </c>
      <c r="G57" s="281">
        <v>200</v>
      </c>
      <c r="H57" s="281">
        <v>0</v>
      </c>
      <c r="I57" s="403">
        <f>G57-H57</f>
        <v>200</v>
      </c>
      <c r="J57" s="19"/>
      <c r="K57" s="19"/>
      <c r="L57" s="19"/>
      <c r="M57" s="19"/>
      <c r="N57" s="19"/>
      <c r="O57" s="19"/>
      <c r="P57" s="80"/>
      <c r="Q57" s="19">
        <v>0</v>
      </c>
      <c r="R57" s="19">
        <v>0</v>
      </c>
      <c r="S57" s="19">
        <f t="shared" si="1"/>
        <v>0</v>
      </c>
      <c r="T57" s="19">
        <v>200</v>
      </c>
      <c r="U57" s="3"/>
    </row>
    <row r="58" spans="1:22">
      <c r="A58" s="19">
        <v>57</v>
      </c>
      <c r="B58" s="318" t="s">
        <v>65</v>
      </c>
      <c r="C58" s="280" t="s">
        <v>39</v>
      </c>
      <c r="D58" s="280"/>
      <c r="E58" s="342" t="s">
        <v>33</v>
      </c>
      <c r="F58" s="281" t="s">
        <v>81</v>
      </c>
      <c r="G58" s="405">
        <v>9000</v>
      </c>
      <c r="H58" s="281">
        <v>0</v>
      </c>
      <c r="I58" s="403">
        <f>G58-H58</f>
        <v>9000</v>
      </c>
      <c r="J58" s="19"/>
      <c r="K58" s="19"/>
      <c r="L58" s="19"/>
      <c r="M58" s="19"/>
      <c r="N58" s="19"/>
      <c r="O58" s="19"/>
      <c r="P58" s="80"/>
      <c r="Q58" s="19">
        <v>0</v>
      </c>
      <c r="R58" s="19">
        <v>0</v>
      </c>
      <c r="S58" s="19">
        <f t="shared" si="1"/>
        <v>0</v>
      </c>
      <c r="T58" s="19"/>
      <c r="U58" s="3"/>
    </row>
    <row r="59" spans="1:22">
      <c r="A59" s="19">
        <v>58</v>
      </c>
      <c r="B59" s="318" t="s">
        <v>86</v>
      </c>
      <c r="C59" s="280" t="s">
        <v>41</v>
      </c>
      <c r="D59" s="280"/>
      <c r="E59" s="342" t="s">
        <v>33</v>
      </c>
      <c r="F59" s="281" t="s">
        <v>81</v>
      </c>
      <c r="G59" s="281">
        <v>0</v>
      </c>
      <c r="H59" s="281">
        <v>0</v>
      </c>
      <c r="I59" s="403">
        <f>G59-H59</f>
        <v>0</v>
      </c>
      <c r="J59" s="19"/>
      <c r="K59" s="19"/>
      <c r="L59" s="19"/>
      <c r="M59" s="19"/>
      <c r="N59" s="19"/>
      <c r="O59" s="19"/>
      <c r="P59" s="80"/>
      <c r="Q59" s="19">
        <f>151+3+50</f>
        <v>204</v>
      </c>
      <c r="R59" s="19">
        <v>0</v>
      </c>
      <c r="S59" s="19">
        <f t="shared" si="1"/>
        <v>0</v>
      </c>
      <c r="T59" s="19">
        <v>275</v>
      </c>
      <c r="U59" s="3"/>
    </row>
    <row r="60" spans="1:22">
      <c r="A60" s="19">
        <v>59</v>
      </c>
      <c r="B60" s="318" t="s">
        <v>87</v>
      </c>
      <c r="C60" s="280" t="s">
        <v>42</v>
      </c>
      <c r="D60" s="280"/>
      <c r="E60" s="342" t="s">
        <v>33</v>
      </c>
      <c r="F60" s="281" t="s">
        <v>81</v>
      </c>
      <c r="G60" s="281">
        <v>0</v>
      </c>
      <c r="H60" s="281">
        <v>0</v>
      </c>
      <c r="I60" s="403">
        <f>G60-H60</f>
        <v>0</v>
      </c>
      <c r="J60" s="19"/>
      <c r="K60" s="19"/>
      <c r="L60" s="19"/>
      <c r="M60" s="19"/>
      <c r="N60" s="19"/>
      <c r="O60" s="19"/>
      <c r="P60" s="80"/>
      <c r="Q60" s="19">
        <f>2+79+60</f>
        <v>141</v>
      </c>
      <c r="R60" s="19">
        <v>0</v>
      </c>
      <c r="S60" s="19">
        <f t="shared" si="1"/>
        <v>0</v>
      </c>
      <c r="T60" s="19">
        <v>275</v>
      </c>
      <c r="U60" s="3"/>
    </row>
    <row r="61" spans="1:22">
      <c r="A61" s="19">
        <v>60</v>
      </c>
      <c r="B61" s="318" t="s">
        <v>66</v>
      </c>
      <c r="C61" s="280" t="s">
        <v>44</v>
      </c>
      <c r="D61" s="280"/>
      <c r="E61" s="342" t="s">
        <v>33</v>
      </c>
      <c r="F61" s="281" t="s">
        <v>81</v>
      </c>
      <c r="G61" s="405">
        <v>200</v>
      </c>
      <c r="H61" s="281">
        <v>0</v>
      </c>
      <c r="I61" s="403">
        <f>G61-H61</f>
        <v>200</v>
      </c>
      <c r="J61" s="19"/>
      <c r="K61" s="19"/>
      <c r="L61" s="19"/>
      <c r="M61" s="19"/>
      <c r="N61" s="19"/>
      <c r="O61" s="19"/>
      <c r="P61" s="80"/>
      <c r="Q61" s="19">
        <v>0</v>
      </c>
      <c r="R61" s="19">
        <v>0</v>
      </c>
      <c r="S61" s="19">
        <f t="shared" si="1"/>
        <v>0</v>
      </c>
      <c r="T61" s="19">
        <v>275</v>
      </c>
      <c r="U61" s="3"/>
    </row>
    <row r="62" spans="1:22">
      <c r="A62" s="19">
        <v>61</v>
      </c>
      <c r="B62" s="318" t="s">
        <v>67</v>
      </c>
      <c r="C62" s="280" t="s">
        <v>45</v>
      </c>
      <c r="D62" s="280"/>
      <c r="E62" s="342" t="s">
        <v>33</v>
      </c>
      <c r="F62" s="281" t="s">
        <v>81</v>
      </c>
      <c r="G62" s="405">
        <v>200</v>
      </c>
      <c r="H62" s="281">
        <v>0</v>
      </c>
      <c r="I62" s="403">
        <f>G62-H62</f>
        <v>200</v>
      </c>
      <c r="J62" s="19"/>
      <c r="K62" s="19"/>
      <c r="L62" s="19"/>
      <c r="M62" s="19"/>
      <c r="N62" s="19"/>
      <c r="O62" s="19"/>
      <c r="P62" s="80"/>
      <c r="Q62" s="19">
        <v>0</v>
      </c>
      <c r="R62" s="19">
        <v>0</v>
      </c>
      <c r="S62" s="19">
        <f t="shared" si="1"/>
        <v>0</v>
      </c>
      <c r="T62" s="19">
        <v>325</v>
      </c>
      <c r="U62" s="3"/>
    </row>
    <row r="63" spans="1:22">
      <c r="A63" s="19">
        <v>62</v>
      </c>
      <c r="B63" s="318" t="s">
        <v>68</v>
      </c>
      <c r="C63" s="280" t="s">
        <v>47</v>
      </c>
      <c r="D63" s="280"/>
      <c r="E63" s="342" t="s">
        <v>33</v>
      </c>
      <c r="F63" s="281" t="s">
        <v>81</v>
      </c>
      <c r="G63" s="405">
        <v>204</v>
      </c>
      <c r="H63" s="281">
        <v>0</v>
      </c>
      <c r="I63" s="403">
        <f>G63-H63</f>
        <v>204</v>
      </c>
      <c r="J63" s="19"/>
      <c r="K63" s="19"/>
      <c r="L63" s="19"/>
      <c r="M63" s="19"/>
      <c r="N63" s="19">
        <v>44</v>
      </c>
      <c r="O63" s="19">
        <v>160</v>
      </c>
      <c r="P63" s="80"/>
      <c r="Q63" s="19">
        <v>0</v>
      </c>
      <c r="R63" s="19">
        <v>0</v>
      </c>
      <c r="S63" s="19">
        <f t="shared" si="1"/>
        <v>204</v>
      </c>
      <c r="T63" s="19">
        <v>148</v>
      </c>
      <c r="U63" s="3"/>
    </row>
    <row r="64" spans="1:22">
      <c r="A64" s="19">
        <v>63</v>
      </c>
      <c r="B64" s="318" t="s">
        <v>69</v>
      </c>
      <c r="C64" s="280" t="s">
        <v>49</v>
      </c>
      <c r="D64" s="280"/>
      <c r="E64" s="342" t="s">
        <v>23</v>
      </c>
      <c r="F64" s="281" t="s">
        <v>81</v>
      </c>
      <c r="G64" s="405">
        <v>400</v>
      </c>
      <c r="H64" s="281">
        <v>0</v>
      </c>
      <c r="I64" s="403">
        <f>G64-H64</f>
        <v>400</v>
      </c>
      <c r="J64" s="19"/>
      <c r="K64" s="19"/>
      <c r="L64" s="19"/>
      <c r="M64" s="19"/>
      <c r="N64" s="19"/>
      <c r="O64" s="19"/>
      <c r="P64" s="80"/>
      <c r="Q64" s="19">
        <v>0</v>
      </c>
      <c r="R64" s="19">
        <v>0</v>
      </c>
      <c r="S64" s="19">
        <f t="shared" si="1"/>
        <v>0</v>
      </c>
      <c r="T64" s="19"/>
      <c r="U64" s="3"/>
    </row>
    <row r="65" spans="1:21">
      <c r="A65" s="19">
        <v>64</v>
      </c>
      <c r="B65" s="318" t="s">
        <v>70</v>
      </c>
      <c r="C65" s="280" t="s">
        <v>51</v>
      </c>
      <c r="D65" s="280"/>
      <c r="E65" s="342" t="s">
        <v>23</v>
      </c>
      <c r="F65" s="281" t="s">
        <v>81</v>
      </c>
      <c r="G65" s="405">
        <v>800</v>
      </c>
      <c r="H65" s="281">
        <v>0</v>
      </c>
      <c r="I65" s="403">
        <f>G65-H65</f>
        <v>800</v>
      </c>
      <c r="J65" s="19"/>
      <c r="K65" s="19"/>
      <c r="L65" s="19"/>
      <c r="M65" s="19"/>
      <c r="N65" s="19"/>
      <c r="O65" s="19"/>
      <c r="P65" s="80"/>
      <c r="Q65" s="19">
        <v>0</v>
      </c>
      <c r="R65" s="19">
        <v>0</v>
      </c>
      <c r="S65" s="19">
        <f t="shared" si="1"/>
        <v>0</v>
      </c>
      <c r="T65" s="19"/>
      <c r="U65" s="3"/>
    </row>
    <row r="66" spans="1:21">
      <c r="A66" s="19">
        <v>65</v>
      </c>
      <c r="B66" s="318" t="s">
        <v>80</v>
      </c>
      <c r="C66" s="280" t="s">
        <v>53</v>
      </c>
      <c r="D66" s="280"/>
      <c r="E66" s="342" t="s">
        <v>23</v>
      </c>
      <c r="F66" s="281" t="s">
        <v>81</v>
      </c>
      <c r="G66" s="281">
        <v>0</v>
      </c>
      <c r="H66" s="281">
        <v>0</v>
      </c>
      <c r="I66" s="403">
        <f>G66-H66</f>
        <v>0</v>
      </c>
      <c r="J66" s="19"/>
      <c r="K66" s="19"/>
      <c r="L66" s="19"/>
      <c r="M66" s="19"/>
      <c r="N66" s="19"/>
      <c r="O66" s="19"/>
      <c r="P66" s="80"/>
      <c r="Q66" s="19">
        <v>0</v>
      </c>
      <c r="R66" s="19">
        <v>0</v>
      </c>
      <c r="S66" s="19">
        <f t="shared" si="1"/>
        <v>0</v>
      </c>
      <c r="T66" s="19"/>
      <c r="U66" s="3"/>
    </row>
    <row r="67" spans="1:21">
      <c r="A67" s="19">
        <v>66</v>
      </c>
      <c r="B67" s="318" t="s">
        <v>62</v>
      </c>
      <c r="C67" s="280" t="s">
        <v>22</v>
      </c>
      <c r="D67" s="280"/>
      <c r="E67" s="342" t="s">
        <v>23</v>
      </c>
      <c r="F67" s="281" t="s">
        <v>81</v>
      </c>
      <c r="G67" s="405">
        <v>0</v>
      </c>
      <c r="H67" s="281">
        <v>0</v>
      </c>
      <c r="I67" s="403">
        <f>G67-H67</f>
        <v>0</v>
      </c>
      <c r="J67" s="19"/>
      <c r="K67" s="19"/>
      <c r="L67" s="19"/>
      <c r="M67" s="19"/>
      <c r="N67" s="19"/>
      <c r="O67" s="19">
        <v>100</v>
      </c>
      <c r="P67" s="80">
        <v>350</v>
      </c>
      <c r="Q67" s="19">
        <v>0</v>
      </c>
      <c r="R67" s="19">
        <v>0</v>
      </c>
      <c r="S67" s="19">
        <f t="shared" si="1"/>
        <v>450</v>
      </c>
      <c r="T67" s="19"/>
      <c r="U67" s="3"/>
    </row>
    <row r="68" spans="1:21">
      <c r="A68" s="19">
        <v>67</v>
      </c>
      <c r="B68" s="318" t="s">
        <v>60</v>
      </c>
      <c r="C68" s="280" t="s">
        <v>61</v>
      </c>
      <c r="D68" s="280"/>
      <c r="E68" s="280" t="s">
        <v>23</v>
      </c>
      <c r="F68" s="344" t="s">
        <v>81</v>
      </c>
      <c r="G68" s="408">
        <v>0</v>
      </c>
      <c r="H68" s="344">
        <v>0</v>
      </c>
      <c r="I68" s="404">
        <f>G68-H68</f>
        <v>0</v>
      </c>
      <c r="J68" s="19"/>
      <c r="K68" s="19"/>
      <c r="L68" s="19"/>
      <c r="M68" s="19"/>
      <c r="N68" s="19"/>
      <c r="O68" s="19">
        <v>0</v>
      </c>
      <c r="P68" s="80">
        <v>0</v>
      </c>
      <c r="Q68" s="19">
        <v>0</v>
      </c>
      <c r="R68" s="19">
        <v>0</v>
      </c>
      <c r="S68" s="19">
        <f t="shared" si="1"/>
        <v>0</v>
      </c>
      <c r="T68" s="19">
        <v>200</v>
      </c>
      <c r="U68" s="3"/>
    </row>
  </sheetData>
  <autoFilter ref="A1:V68" xr:uid="{BCE113E8-B6AD-4DFA-A757-313A6C6AD7C2}">
    <filterColumn colId="5">
      <filters>
        <filter val="February"/>
        <filter val="January"/>
        <filter val="March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F27C-EAB9-41FB-9D83-5C6648ABB012}">
  <dimension ref="A1:Y68"/>
  <sheetViews>
    <sheetView workbookViewId="0">
      <pane xSplit="7" ySplit="1" topLeftCell="H2" activePane="bottomRight" state="frozen"/>
      <selection pane="bottomRight" activeCell="I72" sqref="I72"/>
      <selection pane="bottomLeft"/>
      <selection pane="topRight"/>
    </sheetView>
  </sheetViews>
  <sheetFormatPr defaultColWidth="8.85546875" defaultRowHeight="15"/>
  <cols>
    <col min="2" max="2" width="20.85546875" customWidth="1"/>
    <col min="3" max="3" width="18.5703125" customWidth="1"/>
    <col min="5" max="5" width="10.140625" customWidth="1"/>
    <col min="6" max="6" width="13.42578125" style="1" customWidth="1"/>
    <col min="7" max="9" width="11.7109375" customWidth="1"/>
    <col min="10" max="10" width="14" style="1" customWidth="1"/>
    <col min="11" max="11" width="13.28515625" style="1" customWidth="1"/>
    <col min="12" max="12" width="21.28515625" style="1" customWidth="1"/>
    <col min="13" max="13" width="19.42578125" style="1" customWidth="1"/>
    <col min="14" max="14" width="24.42578125" style="135" bestFit="1" customWidth="1"/>
    <col min="15" max="15" width="20.42578125" style="1" customWidth="1"/>
    <col min="16" max="16" width="15.7109375" style="1" customWidth="1"/>
    <col min="17" max="17" width="25.7109375" style="1" customWidth="1"/>
    <col min="18" max="18" width="15" style="1" customWidth="1"/>
    <col min="19" max="19" width="18" style="1" customWidth="1"/>
    <col min="20" max="20" width="15.28515625" style="1" customWidth="1"/>
    <col min="21" max="21" width="15.42578125" customWidth="1"/>
    <col min="22" max="22" width="37.28515625" style="135" customWidth="1"/>
    <col min="23" max="23" width="13.85546875" customWidth="1"/>
    <col min="24" max="24" width="14.140625" customWidth="1"/>
    <col min="25" max="25" width="13.42578125" customWidth="1"/>
  </cols>
  <sheetData>
    <row r="1" spans="1:25">
      <c r="A1" t="s">
        <v>88</v>
      </c>
      <c r="B1" t="s">
        <v>1</v>
      </c>
      <c r="C1" s="72" t="s">
        <v>2</v>
      </c>
      <c r="D1" s="261" t="s">
        <v>3</v>
      </c>
      <c r="E1" s="69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89</v>
      </c>
      <c r="K1" s="72" t="s">
        <v>90</v>
      </c>
      <c r="L1" s="72" t="s">
        <v>91</v>
      </c>
      <c r="M1" s="72" t="s">
        <v>92</v>
      </c>
      <c r="N1" s="245" t="s">
        <v>93</v>
      </c>
      <c r="O1" s="72" t="s">
        <v>94</v>
      </c>
      <c r="P1" s="72" t="s">
        <v>95</v>
      </c>
      <c r="Q1" s="72" t="s">
        <v>96</v>
      </c>
      <c r="R1" s="72" t="s">
        <v>97</v>
      </c>
      <c r="S1" s="72" t="s">
        <v>98</v>
      </c>
      <c r="T1" s="72" t="s">
        <v>99</v>
      </c>
      <c r="U1" s="72" t="s">
        <v>100</v>
      </c>
      <c r="V1" s="221">
        <v>45992</v>
      </c>
      <c r="W1" s="19"/>
      <c r="X1" s="19"/>
      <c r="Y1" s="3"/>
    </row>
    <row r="2" spans="1:25">
      <c r="A2" s="19">
        <v>1</v>
      </c>
      <c r="B2" s="313" t="s">
        <v>21</v>
      </c>
      <c r="C2" s="200" t="s">
        <v>22</v>
      </c>
      <c r="D2" s="199"/>
      <c r="E2" s="199" t="s">
        <v>23</v>
      </c>
      <c r="F2" s="309" t="s">
        <v>24</v>
      </c>
      <c r="G2" s="200"/>
      <c r="H2" s="200"/>
      <c r="I2" s="198">
        <v>0</v>
      </c>
      <c r="J2" s="19"/>
      <c r="K2" s="19"/>
      <c r="L2" s="80"/>
      <c r="M2" s="19"/>
      <c r="N2" s="225"/>
      <c r="O2" s="19"/>
      <c r="P2" s="19"/>
      <c r="Q2" s="19"/>
      <c r="R2" s="19"/>
      <c r="S2" s="19"/>
      <c r="T2" s="19"/>
      <c r="U2" s="3"/>
      <c r="V2" s="267"/>
      <c r="W2" s="3"/>
      <c r="X2" s="3"/>
      <c r="Y2" s="3"/>
    </row>
    <row r="3" spans="1:25">
      <c r="A3" s="19">
        <v>2</v>
      </c>
      <c r="B3" s="313" t="s">
        <v>25</v>
      </c>
      <c r="C3" s="260" t="s">
        <v>26</v>
      </c>
      <c r="D3" s="199"/>
      <c r="E3" s="199" t="s">
        <v>23</v>
      </c>
      <c r="F3" s="246" t="s">
        <v>24</v>
      </c>
      <c r="G3" s="198">
        <v>290</v>
      </c>
      <c r="H3" s="198">
        <v>260</v>
      </c>
      <c r="I3" s="246">
        <f>G3-H3</f>
        <v>30</v>
      </c>
      <c r="J3" s="19"/>
      <c r="K3" s="19"/>
      <c r="L3" s="19"/>
      <c r="M3" s="19"/>
      <c r="N3" s="225"/>
      <c r="O3" s="19"/>
      <c r="P3" s="19"/>
      <c r="Q3" s="19"/>
      <c r="R3" s="19"/>
      <c r="S3" s="19"/>
      <c r="T3" s="19"/>
      <c r="U3" s="3"/>
      <c r="V3" s="266"/>
      <c r="W3" s="3"/>
      <c r="X3" s="3"/>
      <c r="Y3" s="3"/>
    </row>
    <row r="4" spans="1:25">
      <c r="A4" s="19">
        <v>3</v>
      </c>
      <c r="B4" s="314" t="s">
        <v>28</v>
      </c>
      <c r="C4" s="191" t="s">
        <v>29</v>
      </c>
      <c r="D4" s="183"/>
      <c r="E4" s="191" t="s">
        <v>23</v>
      </c>
      <c r="F4" s="183" t="s">
        <v>30</v>
      </c>
      <c r="G4" s="183">
        <v>350</v>
      </c>
      <c r="H4" s="183">
        <f>98+85+40</f>
        <v>223</v>
      </c>
      <c r="I4" s="345">
        <f>G4-H4</f>
        <v>127</v>
      </c>
      <c r="J4" s="64"/>
      <c r="K4" s="64"/>
      <c r="L4" s="19" t="str">
        <f>B4</f>
        <v>BN-SO-2526-0049</v>
      </c>
      <c r="M4" s="150"/>
      <c r="N4" s="243"/>
      <c r="O4" s="257"/>
      <c r="P4" s="19"/>
      <c r="Q4" s="64"/>
      <c r="R4" s="64"/>
      <c r="S4" s="64"/>
      <c r="T4" s="64"/>
      <c r="U4" s="19"/>
      <c r="V4" s="258" t="s">
        <v>101</v>
      </c>
      <c r="W4" s="3"/>
      <c r="X4" s="3"/>
      <c r="Y4" s="3"/>
    </row>
    <row r="5" spans="1:25">
      <c r="A5" s="19">
        <v>4</v>
      </c>
      <c r="B5" s="315" t="s">
        <v>31</v>
      </c>
      <c r="C5" s="262" t="s">
        <v>32</v>
      </c>
      <c r="D5" s="263">
        <v>60</v>
      </c>
      <c r="E5" s="262" t="s">
        <v>33</v>
      </c>
      <c r="F5" s="264" t="s">
        <v>30</v>
      </c>
      <c r="G5" s="264">
        <v>0</v>
      </c>
      <c r="H5" s="264">
        <v>0</v>
      </c>
      <c r="I5" s="346">
        <f>G5-H5</f>
        <v>0</v>
      </c>
      <c r="J5" s="250">
        <v>45859</v>
      </c>
      <c r="K5" s="250">
        <v>45869</v>
      </c>
      <c r="L5" s="173" t="str">
        <f>B5</f>
        <v>BN-SO-2526-0026</v>
      </c>
      <c r="M5" s="250">
        <v>45870</v>
      </c>
      <c r="N5" s="265">
        <v>45975</v>
      </c>
      <c r="O5" s="252" t="s">
        <v>102</v>
      </c>
      <c r="P5" s="173"/>
      <c r="Q5" s="250">
        <f>P5+D5+15</f>
        <v>75</v>
      </c>
      <c r="R5" s="250">
        <f>Q5+10</f>
        <v>85</v>
      </c>
      <c r="S5" s="250">
        <f>R5+7</f>
        <v>92</v>
      </c>
      <c r="T5" s="250">
        <f>S5+1</f>
        <v>93</v>
      </c>
      <c r="U5" s="173">
        <f>T5-J5-1</f>
        <v>-45767</v>
      </c>
      <c r="V5" s="268"/>
      <c r="W5" s="3"/>
      <c r="X5" s="3"/>
      <c r="Y5" s="3"/>
    </row>
    <row r="6" spans="1:25">
      <c r="A6" s="19">
        <v>5</v>
      </c>
      <c r="B6" s="314" t="s">
        <v>31</v>
      </c>
      <c r="C6" s="191" t="s">
        <v>34</v>
      </c>
      <c r="D6" s="192">
        <v>60</v>
      </c>
      <c r="E6" s="191" t="s">
        <v>33</v>
      </c>
      <c r="F6" s="183" t="s">
        <v>30</v>
      </c>
      <c r="G6" s="183">
        <v>0</v>
      </c>
      <c r="H6" s="183">
        <v>0</v>
      </c>
      <c r="I6" s="345">
        <f>G6-H6</f>
        <v>0</v>
      </c>
      <c r="J6" s="64">
        <v>45859</v>
      </c>
      <c r="K6" s="64">
        <v>45869</v>
      </c>
      <c r="L6" s="173" t="str">
        <f>B6</f>
        <v>BN-SO-2526-0026</v>
      </c>
      <c r="M6" s="64">
        <v>45870</v>
      </c>
      <c r="N6" s="241">
        <v>45975</v>
      </c>
      <c r="O6" s="150" t="s">
        <v>102</v>
      </c>
      <c r="P6" s="19"/>
      <c r="Q6" s="64">
        <f>N6+D6+15</f>
        <v>46050</v>
      </c>
      <c r="R6" s="64">
        <f>Q6+10</f>
        <v>46060</v>
      </c>
      <c r="S6" s="64">
        <f>R6+7</f>
        <v>46067</v>
      </c>
      <c r="T6" s="64">
        <f>S6+1</f>
        <v>46068</v>
      </c>
      <c r="U6" s="19">
        <f>T6-J6-1</f>
        <v>208</v>
      </c>
      <c r="V6" s="258"/>
      <c r="W6" s="3"/>
      <c r="X6" s="3"/>
      <c r="Y6" s="3"/>
    </row>
    <row r="7" spans="1:25">
      <c r="A7" s="19">
        <v>6</v>
      </c>
      <c r="B7" s="314" t="s">
        <v>35</v>
      </c>
      <c r="C7" s="191" t="s">
        <v>36</v>
      </c>
      <c r="D7" s="192">
        <v>60</v>
      </c>
      <c r="E7" s="191" t="s">
        <v>33</v>
      </c>
      <c r="F7" s="194" t="s">
        <v>30</v>
      </c>
      <c r="G7" s="194">
        <v>600</v>
      </c>
      <c r="H7" s="183">
        <v>600</v>
      </c>
      <c r="I7" s="345">
        <f>G7-H7</f>
        <v>0</v>
      </c>
      <c r="J7" s="64">
        <v>45859</v>
      </c>
      <c r="K7" s="64">
        <v>45869</v>
      </c>
      <c r="L7" s="173" t="str">
        <f>B7</f>
        <v>BN-SO-2526-0023</v>
      </c>
      <c r="M7" s="68">
        <v>45870</v>
      </c>
      <c r="N7" s="242">
        <v>45908</v>
      </c>
      <c r="O7" s="254">
        <v>45992</v>
      </c>
      <c r="P7" s="118">
        <v>46006</v>
      </c>
      <c r="Q7" s="64">
        <f>N7+D7+15</f>
        <v>45983</v>
      </c>
      <c r="R7" s="64">
        <f>Q7+10</f>
        <v>45993</v>
      </c>
      <c r="S7" s="64">
        <f>R7+7</f>
        <v>46000</v>
      </c>
      <c r="T7" s="64">
        <f>S7+1</f>
        <v>46001</v>
      </c>
      <c r="U7" s="19">
        <f>T7-J7-1</f>
        <v>141</v>
      </c>
      <c r="V7" s="258"/>
      <c r="W7" s="3"/>
      <c r="X7" s="19"/>
      <c r="Y7" s="3"/>
    </row>
    <row r="8" spans="1:25">
      <c r="A8" s="19">
        <v>7</v>
      </c>
      <c r="B8" s="314" t="s">
        <v>35</v>
      </c>
      <c r="C8" s="191" t="s">
        <v>37</v>
      </c>
      <c r="D8" s="192">
        <v>60</v>
      </c>
      <c r="E8" s="193" t="s">
        <v>33</v>
      </c>
      <c r="F8" s="247" t="s">
        <v>30</v>
      </c>
      <c r="G8" s="183">
        <v>550</v>
      </c>
      <c r="H8" s="183">
        <v>550</v>
      </c>
      <c r="I8" s="345">
        <f>G8-H8</f>
        <v>0</v>
      </c>
      <c r="J8" s="64">
        <v>45859</v>
      </c>
      <c r="K8" s="64">
        <v>45869</v>
      </c>
      <c r="L8" s="173" t="str">
        <f>B8</f>
        <v>BN-SO-2526-0023</v>
      </c>
      <c r="M8" s="73">
        <v>45870</v>
      </c>
      <c r="N8" s="242">
        <v>45908</v>
      </c>
      <c r="O8" s="254">
        <v>45992</v>
      </c>
      <c r="P8" s="150">
        <v>46006</v>
      </c>
      <c r="Q8" s="64">
        <f>N8+D8+15</f>
        <v>45983</v>
      </c>
      <c r="R8" s="64">
        <f>Q8+10</f>
        <v>45993</v>
      </c>
      <c r="S8" s="64">
        <f>R8+7</f>
        <v>46000</v>
      </c>
      <c r="T8" s="64">
        <f>S8+1</f>
        <v>46001</v>
      </c>
      <c r="U8" s="19">
        <f>T8-J8-1</f>
        <v>141</v>
      </c>
      <c r="V8" s="258"/>
      <c r="W8" s="3"/>
      <c r="X8" s="19"/>
      <c r="Y8" s="3"/>
    </row>
    <row r="9" spans="1:25">
      <c r="A9" s="19">
        <v>8</v>
      </c>
      <c r="B9" s="314" t="s">
        <v>38</v>
      </c>
      <c r="C9" s="191" t="s">
        <v>39</v>
      </c>
      <c r="D9" s="183">
        <v>75</v>
      </c>
      <c r="E9" s="193" t="s">
        <v>33</v>
      </c>
      <c r="F9" s="247" t="s">
        <v>30</v>
      </c>
      <c r="G9" s="183">
        <v>4000</v>
      </c>
      <c r="H9" s="183">
        <v>4000</v>
      </c>
      <c r="I9" s="345">
        <f>G9-H9</f>
        <v>0</v>
      </c>
      <c r="J9" s="64">
        <v>45880</v>
      </c>
      <c r="K9" s="64">
        <v>45908</v>
      </c>
      <c r="L9" s="173" t="str">
        <f>B9</f>
        <v>BN-SO-2526-0028</v>
      </c>
      <c r="M9" s="113">
        <v>45908</v>
      </c>
      <c r="N9" s="243">
        <v>45905</v>
      </c>
      <c r="O9" s="255">
        <v>45923</v>
      </c>
      <c r="P9" s="113">
        <v>46003</v>
      </c>
      <c r="Q9" s="64">
        <f>N9+D9+15</f>
        <v>45995</v>
      </c>
      <c r="R9" s="64">
        <f>Q9+10</f>
        <v>46005</v>
      </c>
      <c r="S9" s="64">
        <f>R9+7</f>
        <v>46012</v>
      </c>
      <c r="T9" s="64">
        <f>S9+1</f>
        <v>46013</v>
      </c>
      <c r="U9" s="19">
        <f>T9-J9-1</f>
        <v>132</v>
      </c>
      <c r="V9" s="258" t="s">
        <v>103</v>
      </c>
      <c r="W9" s="3"/>
      <c r="X9" s="3"/>
      <c r="Y9" s="3"/>
    </row>
    <row r="10" spans="1:25">
      <c r="A10" s="19">
        <v>9</v>
      </c>
      <c r="B10" s="314" t="s">
        <v>40</v>
      </c>
      <c r="C10" s="191" t="s">
        <v>41</v>
      </c>
      <c r="D10" s="183">
        <v>60</v>
      </c>
      <c r="E10" s="193" t="s">
        <v>33</v>
      </c>
      <c r="F10" s="247" t="s">
        <v>30</v>
      </c>
      <c r="G10" s="183">
        <v>0</v>
      </c>
      <c r="H10" s="183">
        <v>0</v>
      </c>
      <c r="I10" s="345">
        <f>G10-H10</f>
        <v>0</v>
      </c>
      <c r="J10" s="64">
        <v>45859</v>
      </c>
      <c r="K10" s="64">
        <v>45869</v>
      </c>
      <c r="L10" s="173" t="str">
        <f>B10</f>
        <v>BN-SO-2526-0024</v>
      </c>
      <c r="M10" s="73">
        <v>45870</v>
      </c>
      <c r="N10" s="241">
        <v>45988</v>
      </c>
      <c r="O10" s="113">
        <v>46020</v>
      </c>
      <c r="P10" s="67"/>
      <c r="Q10" s="64">
        <f>N10+D10+15</f>
        <v>46063</v>
      </c>
      <c r="R10" s="64">
        <f>Q10+10</f>
        <v>46073</v>
      </c>
      <c r="S10" s="64">
        <f>R10+7</f>
        <v>46080</v>
      </c>
      <c r="T10" s="64">
        <f>S10+1</f>
        <v>46081</v>
      </c>
      <c r="U10" s="19">
        <f>T10-J10-1</f>
        <v>221</v>
      </c>
      <c r="V10" s="258" t="s">
        <v>101</v>
      </c>
      <c r="W10" s="3"/>
      <c r="X10" s="3"/>
      <c r="Y10" s="3"/>
    </row>
    <row r="11" spans="1:25">
      <c r="A11" s="19">
        <v>10</v>
      </c>
      <c r="B11" s="314" t="s">
        <v>40</v>
      </c>
      <c r="C11" s="191" t="s">
        <v>42</v>
      </c>
      <c r="D11" s="183">
        <v>60</v>
      </c>
      <c r="E11" s="193" t="s">
        <v>33</v>
      </c>
      <c r="F11" s="247" t="s">
        <v>30</v>
      </c>
      <c r="G11" s="183">
        <v>0</v>
      </c>
      <c r="H11" s="183">
        <v>0</v>
      </c>
      <c r="I11" s="345">
        <f>G11-H11</f>
        <v>0</v>
      </c>
      <c r="J11" s="64">
        <v>45859</v>
      </c>
      <c r="K11" s="64">
        <v>45869</v>
      </c>
      <c r="L11" s="173" t="str">
        <f>B11</f>
        <v>BN-SO-2526-0024</v>
      </c>
      <c r="M11" s="73">
        <v>45870</v>
      </c>
      <c r="N11" s="241">
        <v>45988</v>
      </c>
      <c r="O11" s="113">
        <v>46020</v>
      </c>
      <c r="P11" s="67"/>
      <c r="Q11" s="64">
        <f>N11+D11+15</f>
        <v>46063</v>
      </c>
      <c r="R11" s="64">
        <f>Q11+10</f>
        <v>46073</v>
      </c>
      <c r="S11" s="64">
        <f>R11+7</f>
        <v>46080</v>
      </c>
      <c r="T11" s="64">
        <f>S11+1</f>
        <v>46081</v>
      </c>
      <c r="U11" s="19">
        <f>T11-J11-1</f>
        <v>221</v>
      </c>
      <c r="V11" s="258" t="s">
        <v>101</v>
      </c>
      <c r="W11" s="3"/>
      <c r="X11" s="3"/>
      <c r="Y11" s="3"/>
    </row>
    <row r="12" spans="1:25">
      <c r="A12" s="19">
        <v>11</v>
      </c>
      <c r="B12" s="314" t="s">
        <v>43</v>
      </c>
      <c r="C12" s="191" t="s">
        <v>44</v>
      </c>
      <c r="D12" s="183">
        <v>60</v>
      </c>
      <c r="E12" s="193" t="s">
        <v>33</v>
      </c>
      <c r="F12" s="247" t="s">
        <v>30</v>
      </c>
      <c r="G12" s="183">
        <v>0</v>
      </c>
      <c r="H12" s="183">
        <v>0</v>
      </c>
      <c r="I12" s="345">
        <f>G12-H12</f>
        <v>0</v>
      </c>
      <c r="J12" s="64">
        <v>45859</v>
      </c>
      <c r="K12" s="64">
        <v>45869</v>
      </c>
      <c r="L12" s="173" t="str">
        <f>B12</f>
        <v>BN-SO-2526-0025</v>
      </c>
      <c r="M12" s="73">
        <v>45870</v>
      </c>
      <c r="N12" s="242">
        <v>45996</v>
      </c>
      <c r="O12" s="256">
        <v>46020</v>
      </c>
      <c r="P12" s="67"/>
      <c r="Q12" s="64">
        <f>N12+D12+15</f>
        <v>46071</v>
      </c>
      <c r="R12" s="64">
        <f>Q12+10</f>
        <v>46081</v>
      </c>
      <c r="S12" s="64">
        <f>R12+7</f>
        <v>46088</v>
      </c>
      <c r="T12" s="64">
        <f>S12+1</f>
        <v>46089</v>
      </c>
      <c r="U12" s="19">
        <f>T12-J12-1</f>
        <v>229</v>
      </c>
      <c r="V12" s="258"/>
      <c r="W12" s="3"/>
      <c r="X12" s="3"/>
      <c r="Y12" s="3"/>
    </row>
    <row r="13" spans="1:25">
      <c r="A13" s="19">
        <v>12</v>
      </c>
      <c r="B13" s="314" t="s">
        <v>43</v>
      </c>
      <c r="C13" s="191" t="s">
        <v>45</v>
      </c>
      <c r="D13" s="183">
        <v>60</v>
      </c>
      <c r="E13" s="193" t="s">
        <v>33</v>
      </c>
      <c r="F13" s="247" t="s">
        <v>30</v>
      </c>
      <c r="G13" s="183">
        <v>0</v>
      </c>
      <c r="H13" s="183">
        <v>0</v>
      </c>
      <c r="I13" s="345">
        <f>G13-H13</f>
        <v>0</v>
      </c>
      <c r="J13" s="64">
        <v>45859</v>
      </c>
      <c r="K13" s="64">
        <v>45869</v>
      </c>
      <c r="L13" s="173" t="str">
        <f>B13</f>
        <v>BN-SO-2526-0025</v>
      </c>
      <c r="M13" s="73">
        <v>45870</v>
      </c>
      <c r="N13" s="242">
        <v>45996</v>
      </c>
      <c r="O13" s="256">
        <v>46020</v>
      </c>
      <c r="P13" s="67"/>
      <c r="Q13" s="64">
        <f>N13+D13+15</f>
        <v>46071</v>
      </c>
      <c r="R13" s="64">
        <f>Q13+10</f>
        <v>46081</v>
      </c>
      <c r="S13" s="64">
        <f>R13+7</f>
        <v>46088</v>
      </c>
      <c r="T13" s="64">
        <f>S13+1</f>
        <v>46089</v>
      </c>
      <c r="U13" s="19">
        <f>T13-J13-1</f>
        <v>229</v>
      </c>
      <c r="V13" s="258"/>
      <c r="W13" s="3"/>
      <c r="X13" s="3"/>
      <c r="Y13" s="3"/>
    </row>
    <row r="14" spans="1:25">
      <c r="A14" s="19">
        <v>13</v>
      </c>
      <c r="B14" s="314" t="s">
        <v>46</v>
      </c>
      <c r="C14" s="191" t="s">
        <v>47</v>
      </c>
      <c r="D14" s="192">
        <v>70</v>
      </c>
      <c r="E14" s="191" t="s">
        <v>33</v>
      </c>
      <c r="F14" s="247" t="s">
        <v>30</v>
      </c>
      <c r="G14" s="183">
        <v>324</v>
      </c>
      <c r="H14" s="183">
        <v>324</v>
      </c>
      <c r="I14" s="345">
        <f>G14-H14</f>
        <v>0</v>
      </c>
      <c r="J14" s="64">
        <v>45859</v>
      </c>
      <c r="K14" s="64">
        <v>45869</v>
      </c>
      <c r="L14" s="173" t="str">
        <f>B14</f>
        <v>BN-SO-2526-0022</v>
      </c>
      <c r="M14" s="64">
        <v>45870</v>
      </c>
      <c r="N14" s="244">
        <v>45908</v>
      </c>
      <c r="O14" s="118"/>
      <c r="P14" s="150">
        <v>45930</v>
      </c>
      <c r="Q14" s="64">
        <f>N14+D14+15</f>
        <v>45993</v>
      </c>
      <c r="R14" s="64">
        <f>Q14+10</f>
        <v>46003</v>
      </c>
      <c r="S14" s="64">
        <f>R14+7</f>
        <v>46010</v>
      </c>
      <c r="T14" s="64">
        <f>S14+1</f>
        <v>46011</v>
      </c>
      <c r="U14" s="19">
        <f>T14-J14-1</f>
        <v>151</v>
      </c>
      <c r="V14" s="258"/>
      <c r="W14" s="3"/>
      <c r="X14" s="3"/>
      <c r="Y14" s="3"/>
    </row>
    <row r="15" spans="1:25">
      <c r="A15" s="19">
        <v>14</v>
      </c>
      <c r="B15" s="314" t="s">
        <v>48</v>
      </c>
      <c r="C15" s="191" t="s">
        <v>49</v>
      </c>
      <c r="D15" s="192">
        <v>65</v>
      </c>
      <c r="E15" s="191" t="s">
        <v>50</v>
      </c>
      <c r="F15" s="183" t="s">
        <v>30</v>
      </c>
      <c r="G15" s="183">
        <v>800</v>
      </c>
      <c r="H15" s="183">
        <v>800</v>
      </c>
      <c r="I15" s="345">
        <f>G15-H15</f>
        <v>0</v>
      </c>
      <c r="J15" s="64">
        <v>45859</v>
      </c>
      <c r="K15" s="64">
        <v>45860</v>
      </c>
      <c r="L15" s="173" t="str">
        <f>B15</f>
        <v>BN-SO-2526-0019</v>
      </c>
      <c r="M15" s="114">
        <v>45868</v>
      </c>
      <c r="N15" s="244">
        <v>45916</v>
      </c>
      <c r="O15" s="118"/>
      <c r="P15" s="150">
        <v>45924</v>
      </c>
      <c r="Q15" s="64">
        <f>N15+D15+15</f>
        <v>45996</v>
      </c>
      <c r="R15" s="64">
        <f>Q15+10</f>
        <v>46006</v>
      </c>
      <c r="S15" s="64">
        <f>R15+7</f>
        <v>46013</v>
      </c>
      <c r="T15" s="64">
        <f>S15+1</f>
        <v>46014</v>
      </c>
      <c r="U15" s="19">
        <f>T15-J15-1</f>
        <v>154</v>
      </c>
      <c r="V15" s="258"/>
      <c r="W15" s="3"/>
      <c r="X15" s="3"/>
      <c r="Y15" s="3"/>
    </row>
    <row r="16" spans="1:25">
      <c r="A16" s="19">
        <v>15</v>
      </c>
      <c r="B16" s="314" t="s">
        <v>48</v>
      </c>
      <c r="C16" s="191" t="s">
        <v>51</v>
      </c>
      <c r="D16" s="192">
        <v>65</v>
      </c>
      <c r="E16" s="191" t="s">
        <v>50</v>
      </c>
      <c r="F16" s="183" t="s">
        <v>30</v>
      </c>
      <c r="G16" s="183">
        <v>1600</v>
      </c>
      <c r="H16" s="183">
        <v>1600</v>
      </c>
      <c r="I16" s="345">
        <f>G16-H16</f>
        <v>0</v>
      </c>
      <c r="J16" s="64">
        <v>45859</v>
      </c>
      <c r="K16" s="64">
        <v>45860</v>
      </c>
      <c r="L16" s="173" t="str">
        <f>B16</f>
        <v>BN-SO-2526-0019</v>
      </c>
      <c r="M16" s="114">
        <v>45868</v>
      </c>
      <c r="N16" s="244">
        <v>45916</v>
      </c>
      <c r="O16" s="118"/>
      <c r="P16" s="150">
        <v>45924</v>
      </c>
      <c r="Q16" s="64">
        <f>N16+D16+15</f>
        <v>45996</v>
      </c>
      <c r="R16" s="64">
        <f>Q16+10</f>
        <v>46006</v>
      </c>
      <c r="S16" s="64">
        <f>R16+7</f>
        <v>46013</v>
      </c>
      <c r="T16" s="64">
        <f>S16+1</f>
        <v>46014</v>
      </c>
      <c r="U16" s="19">
        <f>T16-J16-1</f>
        <v>154</v>
      </c>
      <c r="V16" s="258"/>
      <c r="W16" s="3"/>
      <c r="X16" s="3"/>
      <c r="Y16" s="3"/>
    </row>
    <row r="17" spans="1:25">
      <c r="A17" s="19">
        <v>16</v>
      </c>
      <c r="B17" s="314" t="s">
        <v>52</v>
      </c>
      <c r="C17" s="191" t="s">
        <v>53</v>
      </c>
      <c r="D17" s="192">
        <v>70</v>
      </c>
      <c r="E17" s="191" t="s">
        <v>50</v>
      </c>
      <c r="F17" s="183" t="s">
        <v>30</v>
      </c>
      <c r="G17" s="183">
        <v>1255</v>
      </c>
      <c r="H17" s="183">
        <v>1255</v>
      </c>
      <c r="I17" s="345">
        <f>G17-H17</f>
        <v>0</v>
      </c>
      <c r="J17" s="68">
        <v>45859</v>
      </c>
      <c r="K17" s="68">
        <v>45860</v>
      </c>
      <c r="L17" s="173" t="str">
        <f>B17</f>
        <v>BN-SO-2526-0020</v>
      </c>
      <c r="M17" s="248">
        <v>45868</v>
      </c>
      <c r="N17" s="249">
        <v>45948</v>
      </c>
      <c r="O17" s="110"/>
      <c r="P17" s="68">
        <v>45980</v>
      </c>
      <c r="Q17" s="68">
        <f>N17+D17+15</f>
        <v>46033</v>
      </c>
      <c r="R17" s="68">
        <f>Q17+10</f>
        <v>46043</v>
      </c>
      <c r="S17" s="68">
        <f>R17+7</f>
        <v>46050</v>
      </c>
      <c r="T17" s="68">
        <f>S17+1</f>
        <v>46051</v>
      </c>
      <c r="U17" s="72">
        <f>T17-J17-1</f>
        <v>191</v>
      </c>
      <c r="V17" s="258"/>
      <c r="W17" s="3"/>
      <c r="X17" s="3"/>
      <c r="Y17" s="3"/>
    </row>
    <row r="18" spans="1:25">
      <c r="A18" s="19">
        <v>17</v>
      </c>
      <c r="B18" s="314" t="s">
        <v>54</v>
      </c>
      <c r="C18" s="191" t="s">
        <v>55</v>
      </c>
      <c r="D18" s="183"/>
      <c r="E18" s="193" t="s">
        <v>33</v>
      </c>
      <c r="F18" s="247" t="s">
        <v>30</v>
      </c>
      <c r="G18" s="183">
        <v>50</v>
      </c>
      <c r="H18" s="183">
        <v>36</v>
      </c>
      <c r="I18" s="345">
        <f>G18-H18</f>
        <v>14</v>
      </c>
      <c r="J18" s="19"/>
      <c r="K18" s="64">
        <v>45966</v>
      </c>
      <c r="L18" s="19" t="s">
        <v>54</v>
      </c>
      <c r="M18" s="150">
        <v>45967</v>
      </c>
      <c r="N18" s="241">
        <v>45975</v>
      </c>
      <c r="O18" s="150"/>
      <c r="P18" s="19"/>
      <c r="Q18" s="19"/>
      <c r="R18" s="19"/>
      <c r="S18" s="19"/>
      <c r="T18" s="19"/>
      <c r="U18" s="3"/>
      <c r="V18" s="258" t="s">
        <v>101</v>
      </c>
      <c r="W18" s="3"/>
      <c r="X18" s="3"/>
      <c r="Y18" s="3"/>
    </row>
    <row r="19" spans="1:25">
      <c r="A19" s="19">
        <v>18</v>
      </c>
      <c r="B19" s="314" t="s">
        <v>54</v>
      </c>
      <c r="C19" s="191" t="s">
        <v>56</v>
      </c>
      <c r="D19" s="183"/>
      <c r="E19" s="193" t="s">
        <v>33</v>
      </c>
      <c r="F19" s="247" t="s">
        <v>30</v>
      </c>
      <c r="G19" s="183">
        <v>50</v>
      </c>
      <c r="H19" s="183">
        <v>40</v>
      </c>
      <c r="I19" s="345">
        <f>G19-H19</f>
        <v>10</v>
      </c>
      <c r="J19" s="19"/>
      <c r="K19" s="64">
        <v>45966</v>
      </c>
      <c r="L19" s="19" t="s">
        <v>54</v>
      </c>
      <c r="M19" s="150">
        <v>45967</v>
      </c>
      <c r="N19" s="241">
        <v>45975</v>
      </c>
      <c r="O19" s="150"/>
      <c r="P19" s="19"/>
      <c r="Q19" s="19"/>
      <c r="R19" s="19"/>
      <c r="S19" s="19"/>
      <c r="T19" s="19"/>
      <c r="U19" s="3"/>
      <c r="V19" s="258" t="s">
        <v>101</v>
      </c>
      <c r="W19" s="3"/>
      <c r="X19" s="3"/>
      <c r="Y19" s="3"/>
    </row>
    <row r="20" spans="1:25">
      <c r="A20" s="19">
        <v>19</v>
      </c>
      <c r="B20" s="314" t="s">
        <v>57</v>
      </c>
      <c r="C20" s="191" t="s">
        <v>22</v>
      </c>
      <c r="D20" s="183"/>
      <c r="E20" s="191" t="s">
        <v>23</v>
      </c>
      <c r="F20" s="183" t="s">
        <v>30</v>
      </c>
      <c r="G20" s="183">
        <v>550</v>
      </c>
      <c r="H20" s="183">
        <f>185+57+60+98+105</f>
        <v>505</v>
      </c>
      <c r="I20" s="345">
        <f>G20-H20</f>
        <v>45</v>
      </c>
      <c r="J20" s="64"/>
      <c r="K20" s="64"/>
      <c r="L20" s="80" t="str">
        <f>B20</f>
        <v>BN-SO-2526-0050</v>
      </c>
      <c r="M20" s="150"/>
      <c r="N20" s="243"/>
      <c r="O20" s="257"/>
      <c r="P20" s="19"/>
      <c r="Q20" s="64"/>
      <c r="R20" s="64"/>
      <c r="S20" s="64"/>
      <c r="T20" s="64"/>
      <c r="U20" s="19"/>
      <c r="V20" s="311"/>
      <c r="W20" s="3"/>
      <c r="X20" s="3"/>
      <c r="Y20" s="3"/>
    </row>
    <row r="21" spans="1:25">
      <c r="A21" s="19">
        <v>20</v>
      </c>
      <c r="B21" s="316" t="s">
        <v>58</v>
      </c>
      <c r="C21" s="29" t="s">
        <v>29</v>
      </c>
      <c r="D21" s="29"/>
      <c r="E21" s="195" t="s">
        <v>23</v>
      </c>
      <c r="F21" s="35" t="s">
        <v>59</v>
      </c>
      <c r="G21" s="30">
        <v>275</v>
      </c>
      <c r="H21" s="30">
        <v>0</v>
      </c>
      <c r="I21" s="30">
        <f>G21-H21</f>
        <v>275</v>
      </c>
      <c r="J21" s="64"/>
      <c r="K21" s="64">
        <v>45922</v>
      </c>
      <c r="L21" s="250" t="s">
        <v>58</v>
      </c>
      <c r="M21" s="150">
        <v>45922</v>
      </c>
      <c r="N21" s="241">
        <v>45943</v>
      </c>
      <c r="O21" s="19"/>
      <c r="P21" s="19"/>
      <c r="Q21" s="19"/>
      <c r="R21" s="19"/>
      <c r="S21" s="19"/>
      <c r="T21" s="19"/>
      <c r="U21" s="3"/>
      <c r="V21" s="226"/>
      <c r="W21" s="3"/>
      <c r="X21" s="3"/>
      <c r="Y21" s="3"/>
    </row>
    <row r="22" spans="1:25">
      <c r="A22" s="19">
        <v>21</v>
      </c>
      <c r="B22" s="316" t="s">
        <v>60</v>
      </c>
      <c r="C22" s="29" t="s">
        <v>61</v>
      </c>
      <c r="D22" s="29"/>
      <c r="E22" s="29" t="s">
        <v>23</v>
      </c>
      <c r="F22" s="30" t="s">
        <v>59</v>
      </c>
      <c r="G22" s="30">
        <v>800</v>
      </c>
      <c r="H22" s="30">
        <f>65</f>
        <v>65</v>
      </c>
      <c r="I22" s="30">
        <f>G22-H22</f>
        <v>735</v>
      </c>
      <c r="J22" s="64"/>
      <c r="K22" s="64">
        <v>45922</v>
      </c>
      <c r="L22" s="221" t="s">
        <v>60</v>
      </c>
      <c r="M22" s="118">
        <v>45979</v>
      </c>
      <c r="N22" s="241">
        <v>46006</v>
      </c>
      <c r="O22" s="150"/>
      <c r="P22" s="19"/>
      <c r="Q22" s="19"/>
      <c r="R22" s="19"/>
      <c r="S22" s="19"/>
      <c r="T22" s="19"/>
      <c r="U22" s="3"/>
      <c r="V22" s="139"/>
      <c r="W22" s="3"/>
      <c r="X22" s="3"/>
      <c r="Y22" s="3"/>
    </row>
    <row r="23" spans="1:25">
      <c r="A23" s="19">
        <v>22</v>
      </c>
      <c r="B23" s="316" t="s">
        <v>62</v>
      </c>
      <c r="C23" s="29" t="s">
        <v>22</v>
      </c>
      <c r="D23" s="29"/>
      <c r="E23" s="29" t="s">
        <v>23</v>
      </c>
      <c r="F23" s="30" t="s">
        <v>59</v>
      </c>
      <c r="G23" s="30">
        <v>400</v>
      </c>
      <c r="H23" s="30">
        <v>0</v>
      </c>
      <c r="I23" s="30">
        <f>G23-H23</f>
        <v>400</v>
      </c>
      <c r="J23" s="64"/>
      <c r="K23" s="64">
        <v>45922</v>
      </c>
      <c r="L23" s="220" t="s">
        <v>62</v>
      </c>
      <c r="M23" s="150">
        <v>45922</v>
      </c>
      <c r="N23" s="241">
        <v>45943</v>
      </c>
      <c r="O23" s="19"/>
      <c r="P23" s="19"/>
      <c r="Q23" s="19"/>
      <c r="R23" s="19"/>
      <c r="S23" s="19"/>
      <c r="T23" s="19"/>
      <c r="U23" s="3"/>
      <c r="V23" s="139"/>
      <c r="W23" s="3"/>
      <c r="X23" s="3"/>
      <c r="Y23" s="3"/>
    </row>
    <row r="24" spans="1:25">
      <c r="A24" s="19">
        <v>23</v>
      </c>
      <c r="B24" s="316" t="s">
        <v>63</v>
      </c>
      <c r="C24" s="29" t="s">
        <v>36</v>
      </c>
      <c r="D24" s="29"/>
      <c r="E24" s="195" t="s">
        <v>33</v>
      </c>
      <c r="F24" s="35" t="s">
        <v>59</v>
      </c>
      <c r="G24" s="30">
        <v>200</v>
      </c>
      <c r="H24" s="30">
        <f>135+65</f>
        <v>200</v>
      </c>
      <c r="I24" s="30">
        <f>G24-H24</f>
        <v>0</v>
      </c>
      <c r="J24" s="64"/>
      <c r="K24" s="64">
        <v>45922</v>
      </c>
      <c r="L24" s="64" t="s">
        <v>63</v>
      </c>
      <c r="M24" s="150">
        <v>45922</v>
      </c>
      <c r="N24" s="225" t="s">
        <v>104</v>
      </c>
      <c r="O24" s="19"/>
      <c r="P24" s="19"/>
      <c r="Q24" s="19"/>
      <c r="R24" s="19"/>
      <c r="S24" s="19"/>
      <c r="T24" s="19"/>
      <c r="U24" s="3"/>
      <c r="V24" s="226"/>
      <c r="W24" s="3"/>
      <c r="X24" s="3"/>
      <c r="Y24" s="3"/>
    </row>
    <row r="25" spans="1:25">
      <c r="A25" s="19">
        <v>24</v>
      </c>
      <c r="B25" s="316" t="s">
        <v>64</v>
      </c>
      <c r="C25" s="29" t="s">
        <v>37</v>
      </c>
      <c r="D25" s="29"/>
      <c r="E25" s="195" t="s">
        <v>33</v>
      </c>
      <c r="F25" s="35" t="s">
        <v>59</v>
      </c>
      <c r="G25" s="30">
        <v>0</v>
      </c>
      <c r="H25" s="30">
        <v>0</v>
      </c>
      <c r="I25" s="30">
        <f>G25-H25</f>
        <v>0</v>
      </c>
      <c r="J25" s="64"/>
      <c r="K25" s="64">
        <v>45922</v>
      </c>
      <c r="L25" s="64" t="s">
        <v>64</v>
      </c>
      <c r="M25" s="150">
        <v>45922</v>
      </c>
      <c r="N25" s="225" t="s">
        <v>104</v>
      </c>
      <c r="O25" s="150">
        <v>46006</v>
      </c>
      <c r="P25" s="19"/>
      <c r="Q25" s="19"/>
      <c r="R25" s="19"/>
      <c r="S25" s="19"/>
      <c r="T25" s="19"/>
      <c r="U25" s="3"/>
      <c r="V25" s="226"/>
      <c r="W25" s="3"/>
      <c r="X25" s="3"/>
      <c r="Y25" s="3"/>
    </row>
    <row r="26" spans="1:25">
      <c r="A26" s="19">
        <v>25</v>
      </c>
      <c r="B26" s="316" t="s">
        <v>65</v>
      </c>
      <c r="C26" s="29" t="s">
        <v>39</v>
      </c>
      <c r="D26" s="196"/>
      <c r="E26" s="197" t="s">
        <v>33</v>
      </c>
      <c r="F26" s="35" t="s">
        <v>59</v>
      </c>
      <c r="G26" s="30">
        <v>3000</v>
      </c>
      <c r="H26" s="30">
        <f>167+200+90</f>
        <v>457</v>
      </c>
      <c r="I26" s="30">
        <f>G26-H26</f>
        <v>2543</v>
      </c>
      <c r="J26" s="64"/>
      <c r="K26" s="64">
        <v>45922</v>
      </c>
      <c r="L26" s="64" t="s">
        <v>65</v>
      </c>
      <c r="M26" s="150">
        <v>45922</v>
      </c>
      <c r="N26" s="225"/>
      <c r="O26" s="19"/>
      <c r="P26" s="19"/>
      <c r="Q26" s="19"/>
      <c r="R26" s="19"/>
      <c r="S26" s="19"/>
      <c r="T26" s="19"/>
      <c r="U26" s="3"/>
      <c r="V26" s="259"/>
      <c r="W26" s="3"/>
      <c r="X26" s="3"/>
      <c r="Y26" s="3"/>
    </row>
    <row r="27" spans="1:25">
      <c r="A27" s="19">
        <v>26</v>
      </c>
      <c r="B27" s="316" t="s">
        <v>66</v>
      </c>
      <c r="C27" s="29" t="s">
        <v>44</v>
      </c>
      <c r="D27" s="29"/>
      <c r="E27" s="195" t="s">
        <v>33</v>
      </c>
      <c r="F27" s="35" t="s">
        <v>59</v>
      </c>
      <c r="G27" s="30">
        <v>0</v>
      </c>
      <c r="H27" s="30">
        <v>0</v>
      </c>
      <c r="I27" s="30">
        <f>G27-H27</f>
        <v>0</v>
      </c>
      <c r="J27" s="64"/>
      <c r="K27" s="64">
        <v>45922</v>
      </c>
      <c r="L27" s="64" t="s">
        <v>66</v>
      </c>
      <c r="M27" s="150">
        <v>45922</v>
      </c>
      <c r="N27" s="241">
        <v>45996</v>
      </c>
      <c r="O27" s="19"/>
      <c r="P27" s="19"/>
      <c r="Q27" s="19"/>
      <c r="R27" s="19"/>
      <c r="S27" s="19"/>
      <c r="T27" s="19"/>
      <c r="U27" s="3"/>
      <c r="V27" s="226"/>
      <c r="W27" s="3"/>
      <c r="X27" s="3"/>
      <c r="Y27" s="3"/>
    </row>
    <row r="28" spans="1:25">
      <c r="A28" s="19">
        <v>27</v>
      </c>
      <c r="B28" s="316" t="s">
        <v>67</v>
      </c>
      <c r="C28" s="29" t="s">
        <v>45</v>
      </c>
      <c r="D28" s="29"/>
      <c r="E28" s="195" t="s">
        <v>33</v>
      </c>
      <c r="F28" s="35" t="s">
        <v>59</v>
      </c>
      <c r="G28" s="30">
        <v>0</v>
      </c>
      <c r="H28" s="30">
        <v>0</v>
      </c>
      <c r="I28" s="30">
        <f>G28-H28</f>
        <v>0</v>
      </c>
      <c r="J28" s="64"/>
      <c r="K28" s="64">
        <v>45922</v>
      </c>
      <c r="L28" s="64" t="s">
        <v>67</v>
      </c>
      <c r="M28" s="150">
        <v>45922</v>
      </c>
      <c r="N28" s="241">
        <v>45996</v>
      </c>
      <c r="O28" s="19"/>
      <c r="P28" s="19"/>
      <c r="Q28" s="19"/>
      <c r="R28" s="19"/>
      <c r="S28" s="19"/>
      <c r="T28" s="19"/>
      <c r="U28" s="3"/>
      <c r="V28" s="226"/>
      <c r="W28" s="3"/>
      <c r="X28" s="3"/>
      <c r="Y28" s="3"/>
    </row>
    <row r="29" spans="1:25">
      <c r="A29" s="19">
        <v>28</v>
      </c>
      <c r="B29" s="316" t="s">
        <v>68</v>
      </c>
      <c r="C29" s="29" t="s">
        <v>47</v>
      </c>
      <c r="D29" s="29"/>
      <c r="E29" s="195" t="s">
        <v>33</v>
      </c>
      <c r="F29" s="35" t="s">
        <v>59</v>
      </c>
      <c r="G29" s="30">
        <v>324</v>
      </c>
      <c r="H29" s="30">
        <f>54+40+35+35+40+32+40+12+34</f>
        <v>322</v>
      </c>
      <c r="I29" s="30">
        <f>G29-H29</f>
        <v>2</v>
      </c>
      <c r="J29" s="64"/>
      <c r="K29" s="64">
        <v>45922</v>
      </c>
      <c r="L29" s="64" t="s">
        <v>68</v>
      </c>
      <c r="M29" s="150">
        <v>45922</v>
      </c>
      <c r="N29" s="241">
        <v>45926</v>
      </c>
      <c r="O29" s="150"/>
      <c r="P29" s="150"/>
      <c r="Q29" s="19"/>
      <c r="R29" s="19"/>
      <c r="S29" s="19"/>
      <c r="T29" s="19"/>
      <c r="U29" s="3"/>
      <c r="V29" s="226"/>
      <c r="W29" s="3"/>
      <c r="X29" s="3"/>
      <c r="Y29" s="3"/>
    </row>
    <row r="30" spans="1:25">
      <c r="A30" s="19">
        <v>29</v>
      </c>
      <c r="B30" s="316" t="s">
        <v>69</v>
      </c>
      <c r="C30" s="29" t="s">
        <v>49</v>
      </c>
      <c r="D30" s="29"/>
      <c r="E30" s="29" t="s">
        <v>23</v>
      </c>
      <c r="F30" s="35" t="s">
        <v>59</v>
      </c>
      <c r="G30" s="30">
        <v>300</v>
      </c>
      <c r="H30" s="30">
        <f>243+57</f>
        <v>300</v>
      </c>
      <c r="I30" s="30">
        <f>G30-H30</f>
        <v>0</v>
      </c>
      <c r="J30" s="64"/>
      <c r="K30" s="64">
        <v>45922</v>
      </c>
      <c r="L30" s="64" t="s">
        <v>69</v>
      </c>
      <c r="M30" s="150">
        <v>45922</v>
      </c>
      <c r="N30" s="225" t="s">
        <v>105</v>
      </c>
      <c r="O30" s="19"/>
      <c r="P30" s="19"/>
      <c r="Q30" s="19"/>
      <c r="R30" s="19"/>
      <c r="S30" s="19"/>
      <c r="T30" s="19"/>
      <c r="U30" s="3"/>
      <c r="V30" s="226"/>
      <c r="W30" s="3"/>
      <c r="X30" s="3"/>
      <c r="Y30" s="3"/>
    </row>
    <row r="31" spans="1:25">
      <c r="A31" s="19">
        <v>30</v>
      </c>
      <c r="B31" s="316" t="s">
        <v>70</v>
      </c>
      <c r="C31" s="29" t="s">
        <v>51</v>
      </c>
      <c r="D31" s="29"/>
      <c r="E31" s="29" t="s">
        <v>23</v>
      </c>
      <c r="F31" s="35" t="s">
        <v>59</v>
      </c>
      <c r="G31" s="30">
        <v>700</v>
      </c>
      <c r="H31" s="30">
        <f>487+77</f>
        <v>564</v>
      </c>
      <c r="I31" s="30">
        <f>G31-H31</f>
        <v>136</v>
      </c>
      <c r="J31" s="250"/>
      <c r="K31" s="250">
        <v>45922</v>
      </c>
      <c r="L31" s="251" t="s">
        <v>70</v>
      </c>
      <c r="M31" s="252">
        <v>45922</v>
      </c>
      <c r="N31" s="253" t="s">
        <v>105</v>
      </c>
      <c r="O31" s="173"/>
      <c r="P31" s="173"/>
      <c r="Q31" s="173"/>
      <c r="R31" s="173"/>
      <c r="S31" s="173"/>
      <c r="T31" s="173"/>
      <c r="U31" s="174"/>
      <c r="V31" s="226"/>
      <c r="W31" s="3"/>
      <c r="X31" s="3"/>
      <c r="Y31" s="3"/>
    </row>
    <row r="32" spans="1:25">
      <c r="A32" s="19">
        <v>32</v>
      </c>
      <c r="B32" s="316" t="s">
        <v>71</v>
      </c>
      <c r="C32" s="29" t="s">
        <v>72</v>
      </c>
      <c r="D32" s="29"/>
      <c r="E32" s="29" t="s">
        <v>23</v>
      </c>
      <c r="F32" s="35" t="s">
        <v>59</v>
      </c>
      <c r="G32" s="30">
        <v>450</v>
      </c>
      <c r="H32" s="30">
        <v>0</v>
      </c>
      <c r="I32" s="30">
        <f>G32-H32</f>
        <v>450</v>
      </c>
      <c r="J32" s="64"/>
      <c r="K32" s="64">
        <v>45922</v>
      </c>
      <c r="L32" s="220" t="s">
        <v>71</v>
      </c>
      <c r="M32" s="150">
        <v>45979</v>
      </c>
      <c r="N32" s="241">
        <v>46006</v>
      </c>
      <c r="O32" s="150"/>
      <c r="P32" s="19"/>
      <c r="Q32" s="19"/>
      <c r="R32" s="19"/>
      <c r="S32" s="19"/>
      <c r="T32" s="19"/>
      <c r="U32" s="3"/>
      <c r="V32" s="226"/>
      <c r="W32" s="3"/>
      <c r="X32" s="3"/>
      <c r="Y32" s="3"/>
    </row>
    <row r="33" spans="1:25">
      <c r="A33" s="19">
        <v>35</v>
      </c>
      <c r="B33" s="312" t="s">
        <v>73</v>
      </c>
      <c r="C33" s="24" t="s">
        <v>55</v>
      </c>
      <c r="D33" s="24"/>
      <c r="E33" s="24" t="s">
        <v>33</v>
      </c>
      <c r="F33" s="25" t="s">
        <v>74</v>
      </c>
      <c r="G33" s="25">
        <v>0</v>
      </c>
      <c r="H33" s="25">
        <v>0</v>
      </c>
      <c r="I33" s="25">
        <f>G33-H33</f>
        <v>0</v>
      </c>
      <c r="J33" s="19"/>
      <c r="K33" s="150">
        <v>45996</v>
      </c>
      <c r="L33" s="221" t="s">
        <v>73</v>
      </c>
      <c r="M33" s="19" t="s">
        <v>106</v>
      </c>
      <c r="N33" s="225"/>
      <c r="O33" s="19"/>
      <c r="P33" s="19"/>
      <c r="Q33" s="19"/>
      <c r="R33" s="19"/>
      <c r="S33" s="19"/>
      <c r="T33" s="19"/>
      <c r="U33" s="3"/>
      <c r="V33" s="225"/>
      <c r="W33" s="3"/>
      <c r="X33" s="3"/>
      <c r="Y33" s="3"/>
    </row>
    <row r="34" spans="1:25">
      <c r="A34" s="19">
        <v>36</v>
      </c>
      <c r="B34" s="312" t="s">
        <v>76</v>
      </c>
      <c r="C34" s="24" t="s">
        <v>56</v>
      </c>
      <c r="D34" s="24"/>
      <c r="E34" s="24" t="s">
        <v>33</v>
      </c>
      <c r="F34" s="25" t="s">
        <v>74</v>
      </c>
      <c r="G34" s="25">
        <v>0</v>
      </c>
      <c r="H34" s="25">
        <v>0</v>
      </c>
      <c r="I34" s="25">
        <f>G34-H34</f>
        <v>0</v>
      </c>
      <c r="J34" s="19"/>
      <c r="K34" s="150">
        <v>45996</v>
      </c>
      <c r="L34" s="221" t="s">
        <v>76</v>
      </c>
      <c r="M34" s="19" t="s">
        <v>106</v>
      </c>
      <c r="N34" s="225"/>
      <c r="O34" s="19"/>
      <c r="P34" s="19"/>
      <c r="Q34" s="19"/>
      <c r="R34" s="19"/>
      <c r="S34" s="19"/>
      <c r="T34" s="19"/>
      <c r="U34" s="3"/>
      <c r="V34" s="225"/>
      <c r="W34" s="225"/>
      <c r="X34" s="225"/>
      <c r="Y34" s="225"/>
    </row>
    <row r="35" spans="1:25">
      <c r="A35" s="19">
        <v>37</v>
      </c>
      <c r="B35" s="312" t="s">
        <v>58</v>
      </c>
      <c r="C35" s="24" t="s">
        <v>29</v>
      </c>
      <c r="D35" s="24"/>
      <c r="E35" s="308" t="s">
        <v>23</v>
      </c>
      <c r="F35" s="34" t="s">
        <v>74</v>
      </c>
      <c r="G35" s="25">
        <v>350</v>
      </c>
      <c r="H35" s="25">
        <v>0</v>
      </c>
      <c r="I35" s="25">
        <f>G35-H35</f>
        <v>350</v>
      </c>
      <c r="J35" s="19"/>
      <c r="K35" s="64">
        <v>45922</v>
      </c>
      <c r="L35" s="250" t="s">
        <v>58</v>
      </c>
      <c r="M35" s="150">
        <v>45922</v>
      </c>
      <c r="N35" s="225"/>
      <c r="O35" s="19"/>
      <c r="P35" s="19"/>
      <c r="Q35" s="19"/>
      <c r="R35" s="19"/>
      <c r="S35" s="19"/>
      <c r="T35" s="19"/>
      <c r="U35" s="3"/>
      <c r="V35" s="226"/>
      <c r="W35" s="3"/>
      <c r="X35" s="3"/>
      <c r="Y35" s="3"/>
    </row>
    <row r="36" spans="1:25">
      <c r="A36" s="19">
        <v>38</v>
      </c>
      <c r="B36" s="312" t="s">
        <v>62</v>
      </c>
      <c r="C36" s="24" t="s">
        <v>22</v>
      </c>
      <c r="D36" s="24"/>
      <c r="E36" s="24" t="s">
        <v>23</v>
      </c>
      <c r="F36" s="25" t="s">
        <v>74</v>
      </c>
      <c r="G36" s="25">
        <v>550</v>
      </c>
      <c r="H36" s="25">
        <v>0</v>
      </c>
      <c r="I36" s="25">
        <f>G36-H36</f>
        <v>550</v>
      </c>
      <c r="J36" s="19"/>
      <c r="K36" s="64">
        <v>45922</v>
      </c>
      <c r="L36" s="220" t="s">
        <v>62</v>
      </c>
      <c r="M36" s="150">
        <v>45922</v>
      </c>
      <c r="N36" s="225"/>
      <c r="O36" s="19"/>
      <c r="P36" s="19"/>
      <c r="Q36" s="19"/>
      <c r="R36" s="19"/>
      <c r="S36" s="19"/>
      <c r="T36" s="19"/>
      <c r="U36" s="3"/>
      <c r="V36" s="139"/>
      <c r="W36" s="3"/>
      <c r="X36" s="3"/>
      <c r="Y36" s="225"/>
    </row>
    <row r="37" spans="1:25">
      <c r="A37" s="19">
        <v>39</v>
      </c>
      <c r="B37" s="312" t="s">
        <v>60</v>
      </c>
      <c r="C37" s="24" t="s">
        <v>61</v>
      </c>
      <c r="D37" s="24"/>
      <c r="E37" s="24" t="s">
        <v>23</v>
      </c>
      <c r="F37" s="25" t="s">
        <v>74</v>
      </c>
      <c r="G37" s="25">
        <v>450</v>
      </c>
      <c r="H37" s="25">
        <v>0</v>
      </c>
      <c r="I37" s="25">
        <f>G37-H37</f>
        <v>450</v>
      </c>
      <c r="J37" s="19"/>
      <c r="K37" s="64">
        <v>45922</v>
      </c>
      <c r="L37" s="220" t="s">
        <v>60</v>
      </c>
      <c r="M37" s="150">
        <v>45979</v>
      </c>
      <c r="N37" s="225"/>
      <c r="O37" s="19"/>
      <c r="P37" s="19"/>
      <c r="Q37" s="19"/>
      <c r="R37" s="19"/>
      <c r="S37" s="19"/>
      <c r="T37" s="19"/>
      <c r="U37" s="3"/>
      <c r="V37" s="139"/>
      <c r="W37" s="3"/>
      <c r="X37" s="3"/>
      <c r="Y37" s="225"/>
    </row>
    <row r="38" spans="1:25">
      <c r="A38" s="19">
        <v>40</v>
      </c>
      <c r="B38" s="317" t="s">
        <v>71</v>
      </c>
      <c r="C38" s="109" t="s">
        <v>72</v>
      </c>
      <c r="D38" s="109"/>
      <c r="E38" s="109" t="s">
        <v>23</v>
      </c>
      <c r="F38" s="61" t="s">
        <v>74</v>
      </c>
      <c r="G38" s="50">
        <v>800</v>
      </c>
      <c r="H38" s="50">
        <v>0</v>
      </c>
      <c r="I38" s="50">
        <f>G38-H38</f>
        <v>800</v>
      </c>
      <c r="J38" s="72"/>
      <c r="K38" s="68">
        <v>45922</v>
      </c>
      <c r="L38" s="221" t="s">
        <v>71</v>
      </c>
      <c r="M38" s="118">
        <v>45979</v>
      </c>
      <c r="N38" s="245"/>
      <c r="O38" s="72"/>
      <c r="P38" s="72"/>
      <c r="Q38" s="72"/>
      <c r="R38" s="72"/>
      <c r="S38" s="72"/>
      <c r="T38" s="72"/>
      <c r="U38" s="69"/>
      <c r="V38" s="259"/>
      <c r="W38" s="69"/>
      <c r="X38" s="69"/>
      <c r="Y38" s="69"/>
    </row>
    <row r="39" spans="1:25">
      <c r="A39" s="19">
        <v>41</v>
      </c>
      <c r="B39" s="312" t="s">
        <v>54</v>
      </c>
      <c r="C39" s="24" t="s">
        <v>77</v>
      </c>
      <c r="D39" s="25"/>
      <c r="E39" s="24" t="s">
        <v>33</v>
      </c>
      <c r="F39" s="25" t="s">
        <v>74</v>
      </c>
      <c r="G39" s="25">
        <v>0</v>
      </c>
      <c r="H39" s="25">
        <v>0</v>
      </c>
      <c r="I39" s="25">
        <f>G39-H39</f>
        <v>0</v>
      </c>
      <c r="J39" s="19" t="s">
        <v>107</v>
      </c>
      <c r="K39" s="64">
        <v>45966</v>
      </c>
      <c r="L39" s="19" t="s">
        <v>54</v>
      </c>
      <c r="M39" s="150">
        <v>45967</v>
      </c>
      <c r="N39" s="241">
        <v>45975</v>
      </c>
      <c r="O39" s="19"/>
      <c r="P39" s="19"/>
      <c r="Q39" s="19"/>
      <c r="R39" s="19"/>
      <c r="S39" s="19"/>
      <c r="T39" s="19"/>
      <c r="U39" s="3"/>
      <c r="V39" s="139"/>
      <c r="W39" s="3"/>
      <c r="X39" s="3"/>
      <c r="Y39" s="3"/>
    </row>
    <row r="40" spans="1:25">
      <c r="A40" s="19">
        <v>42</v>
      </c>
      <c r="B40" s="312" t="s">
        <v>54</v>
      </c>
      <c r="C40" s="24" t="s">
        <v>78</v>
      </c>
      <c r="D40" s="25"/>
      <c r="E40" s="24" t="s">
        <v>33</v>
      </c>
      <c r="F40" s="25" t="s">
        <v>74</v>
      </c>
      <c r="G40" s="25">
        <v>0</v>
      </c>
      <c r="H40" s="25">
        <v>0</v>
      </c>
      <c r="I40" s="25">
        <f>G40-H40</f>
        <v>0</v>
      </c>
      <c r="J40" s="19"/>
      <c r="K40" s="64">
        <v>45966</v>
      </c>
      <c r="L40" s="19" t="s">
        <v>54</v>
      </c>
      <c r="M40" s="150">
        <v>45967</v>
      </c>
      <c r="N40" s="241">
        <v>45975</v>
      </c>
      <c r="O40" s="19"/>
      <c r="P40" s="19"/>
      <c r="Q40" s="19"/>
      <c r="R40" s="19"/>
      <c r="S40" s="19"/>
      <c r="T40" s="19"/>
      <c r="U40" s="3"/>
      <c r="V40" s="139"/>
      <c r="W40" s="3"/>
      <c r="X40" s="3"/>
      <c r="Y40" s="3"/>
    </row>
    <row r="41" spans="1:25">
      <c r="A41" s="19">
        <v>45</v>
      </c>
      <c r="B41" s="312" t="s">
        <v>63</v>
      </c>
      <c r="C41" s="24" t="s">
        <v>36</v>
      </c>
      <c r="D41" s="24"/>
      <c r="E41" s="24" t="s">
        <v>33</v>
      </c>
      <c r="F41" s="25" t="s">
        <v>74</v>
      </c>
      <c r="G41" s="25">
        <v>200</v>
      </c>
      <c r="H41" s="25">
        <v>200</v>
      </c>
      <c r="I41" s="25">
        <f>G41-H41</f>
        <v>0</v>
      </c>
      <c r="J41" s="19"/>
      <c r="K41" s="64">
        <v>45922</v>
      </c>
      <c r="L41" s="64" t="s">
        <v>63</v>
      </c>
      <c r="M41" s="150">
        <v>45922</v>
      </c>
      <c r="N41" s="225"/>
      <c r="O41" s="19"/>
      <c r="P41" s="19"/>
      <c r="Q41" s="19"/>
      <c r="R41" s="19"/>
      <c r="S41" s="19"/>
      <c r="T41" s="19"/>
      <c r="U41" s="3"/>
      <c r="V41" s="139"/>
      <c r="W41" s="3"/>
      <c r="X41" s="3"/>
      <c r="Y41" s="3"/>
    </row>
    <row r="42" spans="1:25">
      <c r="A42" s="19">
        <v>46</v>
      </c>
      <c r="B42" s="312" t="s">
        <v>64</v>
      </c>
      <c r="C42" s="24" t="s">
        <v>37</v>
      </c>
      <c r="D42" s="24"/>
      <c r="E42" s="24" t="s">
        <v>33</v>
      </c>
      <c r="F42" s="25" t="s">
        <v>74</v>
      </c>
      <c r="G42" s="25">
        <v>0</v>
      </c>
      <c r="H42" s="25">
        <v>0</v>
      </c>
      <c r="I42" s="25">
        <f>G42-H42</f>
        <v>0</v>
      </c>
      <c r="J42" s="19"/>
      <c r="K42" s="64">
        <v>45922</v>
      </c>
      <c r="L42" s="64" t="s">
        <v>64</v>
      </c>
      <c r="M42" s="150">
        <v>45922</v>
      </c>
      <c r="N42" s="225"/>
      <c r="O42" s="19"/>
      <c r="P42" s="19"/>
      <c r="Q42" s="19"/>
      <c r="R42" s="19"/>
      <c r="S42" s="19"/>
      <c r="T42" s="19"/>
      <c r="U42" s="3"/>
      <c r="V42" s="139"/>
      <c r="W42" s="3"/>
      <c r="X42" s="3"/>
      <c r="Y42" s="3"/>
    </row>
    <row r="43" spans="1:25">
      <c r="A43" s="19">
        <v>47</v>
      </c>
      <c r="B43" s="312" t="s">
        <v>65</v>
      </c>
      <c r="C43" s="24" t="s">
        <v>39</v>
      </c>
      <c r="D43" s="24"/>
      <c r="E43" s="24" t="s">
        <v>33</v>
      </c>
      <c r="F43" s="25" t="s">
        <v>74</v>
      </c>
      <c r="G43" s="25">
        <v>6000</v>
      </c>
      <c r="H43" s="25">
        <v>0</v>
      </c>
      <c r="I43" s="25">
        <f>G43-H43</f>
        <v>6000</v>
      </c>
      <c r="J43" s="19"/>
      <c r="K43" s="64">
        <v>45922</v>
      </c>
      <c r="L43" s="64" t="s">
        <v>65</v>
      </c>
      <c r="M43" s="150">
        <v>46024</v>
      </c>
      <c r="N43" s="225"/>
      <c r="O43" s="19"/>
      <c r="P43" s="19"/>
      <c r="Q43" s="19"/>
      <c r="R43" s="19"/>
      <c r="S43" s="19"/>
      <c r="T43" s="19"/>
      <c r="U43" s="3"/>
      <c r="V43" s="139"/>
      <c r="W43" s="3"/>
      <c r="X43" s="3"/>
      <c r="Y43" s="3"/>
    </row>
    <row r="44" spans="1:25">
      <c r="A44" s="19">
        <v>50</v>
      </c>
      <c r="B44" s="312" t="s">
        <v>66</v>
      </c>
      <c r="C44" s="24" t="s">
        <v>44</v>
      </c>
      <c r="D44" s="24"/>
      <c r="E44" s="24" t="s">
        <v>33</v>
      </c>
      <c r="F44" s="25" t="s">
        <v>74</v>
      </c>
      <c r="G44" s="25">
        <v>0</v>
      </c>
      <c r="H44" s="25">
        <v>0</v>
      </c>
      <c r="I44" s="25">
        <f>G44-H44</f>
        <v>0</v>
      </c>
      <c r="J44" s="19"/>
      <c r="K44" s="64">
        <v>45922</v>
      </c>
      <c r="L44" s="64" t="s">
        <v>66</v>
      </c>
      <c r="M44" s="150">
        <v>45922</v>
      </c>
      <c r="N44" s="225"/>
      <c r="O44" s="19"/>
      <c r="P44" s="19"/>
      <c r="Q44" s="19"/>
      <c r="R44" s="19"/>
      <c r="S44" s="19"/>
      <c r="T44" s="19"/>
      <c r="U44" s="3"/>
      <c r="V44" s="139"/>
      <c r="W44" s="3"/>
      <c r="X44" s="3"/>
      <c r="Y44" s="3"/>
    </row>
    <row r="45" spans="1:25">
      <c r="A45" s="19">
        <v>51</v>
      </c>
      <c r="B45" s="312" t="s">
        <v>67</v>
      </c>
      <c r="C45" s="24" t="s">
        <v>45</v>
      </c>
      <c r="D45" s="24"/>
      <c r="E45" s="24" t="s">
        <v>33</v>
      </c>
      <c r="F45" s="25" t="s">
        <v>74</v>
      </c>
      <c r="G45" s="25">
        <v>0</v>
      </c>
      <c r="H45" s="25">
        <v>0</v>
      </c>
      <c r="I45" s="25">
        <f>G45-H45</f>
        <v>0</v>
      </c>
      <c r="J45" s="19"/>
      <c r="K45" s="64">
        <v>45922</v>
      </c>
      <c r="L45" s="64" t="s">
        <v>67</v>
      </c>
      <c r="M45" s="150">
        <v>45922</v>
      </c>
      <c r="N45" s="225"/>
      <c r="O45" s="19"/>
      <c r="P45" s="19"/>
      <c r="Q45" s="19"/>
      <c r="R45" s="19"/>
      <c r="S45" s="19"/>
      <c r="T45" s="19"/>
      <c r="U45" s="3"/>
      <c r="V45" s="139"/>
      <c r="W45" s="3"/>
      <c r="X45" s="3"/>
      <c r="Y45" s="3"/>
    </row>
    <row r="46" spans="1:25">
      <c r="A46" s="19">
        <v>52</v>
      </c>
      <c r="B46" s="312" t="s">
        <v>68</v>
      </c>
      <c r="C46" s="24" t="s">
        <v>47</v>
      </c>
      <c r="D46" s="24"/>
      <c r="E46" s="24" t="s">
        <v>33</v>
      </c>
      <c r="F46" s="25" t="s">
        <v>74</v>
      </c>
      <c r="G46" s="25">
        <v>120</v>
      </c>
      <c r="H46" s="25">
        <v>0</v>
      </c>
      <c r="I46" s="25">
        <f>G46-H46</f>
        <v>120</v>
      </c>
      <c r="J46" s="19"/>
      <c r="K46" s="64"/>
      <c r="L46" s="64"/>
      <c r="M46" s="150"/>
      <c r="N46" s="225"/>
      <c r="O46" s="19"/>
      <c r="P46" s="19"/>
      <c r="Q46" s="19"/>
      <c r="R46" s="19"/>
      <c r="S46" s="19"/>
      <c r="T46" s="19"/>
      <c r="U46" s="3"/>
      <c r="V46" s="139"/>
      <c r="W46" s="3"/>
      <c r="X46" s="3"/>
      <c r="Y46" s="3"/>
    </row>
    <row r="47" spans="1:25">
      <c r="A47" s="19">
        <v>53</v>
      </c>
      <c r="B47" s="312" t="s">
        <v>69</v>
      </c>
      <c r="C47" s="24" t="s">
        <v>49</v>
      </c>
      <c r="D47" s="24"/>
      <c r="E47" s="24" t="s">
        <v>23</v>
      </c>
      <c r="F47" s="25" t="s">
        <v>74</v>
      </c>
      <c r="G47" s="25">
        <v>400</v>
      </c>
      <c r="H47" s="25">
        <v>0</v>
      </c>
      <c r="I47" s="25">
        <f>G47-H47</f>
        <v>400</v>
      </c>
      <c r="J47" s="19"/>
      <c r="K47" s="64">
        <v>45922</v>
      </c>
      <c r="L47" s="64" t="s">
        <v>69</v>
      </c>
      <c r="M47" s="150">
        <v>45922</v>
      </c>
      <c r="N47" s="225"/>
      <c r="O47" s="19"/>
      <c r="P47" s="19"/>
      <c r="Q47" s="19"/>
      <c r="R47" s="19"/>
      <c r="S47" s="19"/>
      <c r="T47" s="19"/>
      <c r="U47" s="3"/>
      <c r="V47" s="139"/>
      <c r="W47" s="3"/>
      <c r="X47" s="3"/>
      <c r="Y47" s="3"/>
    </row>
    <row r="48" spans="1:25">
      <c r="A48" s="19">
        <v>54</v>
      </c>
      <c r="B48" s="312" t="s">
        <v>70</v>
      </c>
      <c r="C48" s="24" t="s">
        <v>51</v>
      </c>
      <c r="D48" s="24"/>
      <c r="E48" s="24" t="s">
        <v>23</v>
      </c>
      <c r="F48" s="25" t="s">
        <v>74</v>
      </c>
      <c r="G48" s="25">
        <v>800</v>
      </c>
      <c r="H48" s="25">
        <v>0</v>
      </c>
      <c r="I48" s="25">
        <f>G48-H48</f>
        <v>800</v>
      </c>
      <c r="J48" s="19"/>
      <c r="K48" s="64">
        <v>45922</v>
      </c>
      <c r="L48" s="251" t="s">
        <v>70</v>
      </c>
      <c r="M48" s="150">
        <v>45922</v>
      </c>
      <c r="N48" s="225"/>
      <c r="O48" s="19"/>
      <c r="P48" s="19"/>
      <c r="Q48" s="19"/>
      <c r="R48" s="19"/>
      <c r="S48" s="19"/>
      <c r="T48" s="19"/>
      <c r="U48" s="3"/>
      <c r="V48" s="139"/>
      <c r="W48" s="3"/>
      <c r="X48" s="3"/>
      <c r="Y48" s="3"/>
    </row>
    <row r="49" spans="1:25">
      <c r="A49" s="19">
        <v>55</v>
      </c>
      <c r="B49" s="312" t="s">
        <v>80</v>
      </c>
      <c r="C49" s="24" t="s">
        <v>53</v>
      </c>
      <c r="D49" s="24"/>
      <c r="E49" s="24" t="s">
        <v>23</v>
      </c>
      <c r="F49" s="50" t="s">
        <v>74</v>
      </c>
      <c r="G49" s="50">
        <v>0</v>
      </c>
      <c r="H49" s="50">
        <v>0</v>
      </c>
      <c r="I49" s="50">
        <f>G49-H49</f>
        <v>0</v>
      </c>
      <c r="J49" s="19"/>
      <c r="K49" s="64">
        <v>45922</v>
      </c>
      <c r="L49" s="220" t="s">
        <v>80</v>
      </c>
      <c r="M49" s="150">
        <v>45922</v>
      </c>
      <c r="N49" s="225"/>
      <c r="O49" s="19"/>
      <c r="P49" s="19"/>
      <c r="Q49" s="19"/>
      <c r="R49" s="19"/>
      <c r="S49" s="19"/>
      <c r="T49" s="19"/>
      <c r="U49" s="3"/>
      <c r="V49" s="139"/>
      <c r="W49" s="3"/>
      <c r="X49" s="3"/>
      <c r="Y49" s="3"/>
    </row>
    <row r="50" spans="1:25">
      <c r="A50" s="19">
        <v>56</v>
      </c>
      <c r="B50" s="318" t="s">
        <v>71</v>
      </c>
      <c r="C50" s="280" t="s">
        <v>72</v>
      </c>
      <c r="D50" s="280"/>
      <c r="E50" s="342" t="s">
        <v>23</v>
      </c>
      <c r="F50" s="281" t="s">
        <v>81</v>
      </c>
      <c r="G50" s="281">
        <v>600</v>
      </c>
      <c r="H50" s="281">
        <v>0</v>
      </c>
      <c r="I50" s="281">
        <f>G50-H50</f>
        <v>600</v>
      </c>
      <c r="J50" s="67"/>
      <c r="K50" s="64">
        <v>45922</v>
      </c>
      <c r="L50" s="220" t="s">
        <v>71</v>
      </c>
      <c r="M50" s="150">
        <v>45979</v>
      </c>
      <c r="N50" s="225"/>
      <c r="O50" s="19"/>
      <c r="P50" s="19"/>
      <c r="Q50" s="19"/>
      <c r="R50" s="19"/>
      <c r="S50" s="19"/>
      <c r="T50" s="19"/>
      <c r="U50" s="3"/>
      <c r="V50" s="225"/>
      <c r="W50" s="225"/>
      <c r="X50" s="225"/>
      <c r="Y50" s="3"/>
    </row>
    <row r="51" spans="1:25">
      <c r="A51" s="19">
        <v>57</v>
      </c>
      <c r="B51" s="318" t="s">
        <v>58</v>
      </c>
      <c r="C51" s="280" t="s">
        <v>29</v>
      </c>
      <c r="D51" s="280"/>
      <c r="E51" s="342" t="s">
        <v>23</v>
      </c>
      <c r="F51" s="281" t="s">
        <v>81</v>
      </c>
      <c r="G51" s="281">
        <v>450</v>
      </c>
      <c r="H51" s="281">
        <v>0</v>
      </c>
      <c r="I51" s="281">
        <f>G51-H51</f>
        <v>450</v>
      </c>
      <c r="J51" s="67"/>
      <c r="K51" s="64">
        <v>45922</v>
      </c>
      <c r="L51" s="220" t="s">
        <v>58</v>
      </c>
      <c r="M51" s="150">
        <v>45922</v>
      </c>
      <c r="N51" s="225"/>
      <c r="O51" s="19"/>
      <c r="P51" s="19"/>
      <c r="Q51" s="19"/>
      <c r="R51" s="19"/>
      <c r="S51" s="19"/>
      <c r="T51" s="19"/>
      <c r="U51" s="3"/>
      <c r="V51" s="310"/>
      <c r="W51" s="225"/>
      <c r="X51" s="225"/>
      <c r="Y51" s="3"/>
    </row>
    <row r="52" spans="1:25">
      <c r="A52" s="19"/>
      <c r="B52" s="318" t="s">
        <v>73</v>
      </c>
      <c r="C52" s="318" t="s">
        <v>55</v>
      </c>
      <c r="D52" s="318"/>
      <c r="E52" s="343" t="s">
        <v>33</v>
      </c>
      <c r="F52" s="281" t="s">
        <v>81</v>
      </c>
      <c r="G52" s="281">
        <v>0</v>
      </c>
      <c r="H52" s="281">
        <v>0</v>
      </c>
      <c r="I52" s="281">
        <f>G52-H52</f>
        <v>0</v>
      </c>
      <c r="J52" s="67"/>
      <c r="K52" s="64"/>
      <c r="L52" s="220"/>
      <c r="M52" s="150"/>
      <c r="N52" s="225"/>
      <c r="O52" s="19"/>
      <c r="P52" s="19"/>
      <c r="Q52" s="19"/>
      <c r="R52" s="19"/>
      <c r="S52" s="19"/>
      <c r="T52" s="19"/>
      <c r="U52" s="3"/>
      <c r="V52" s="310"/>
      <c r="W52" s="225"/>
      <c r="X52" s="225"/>
      <c r="Y52" s="3"/>
    </row>
    <row r="53" spans="1:25">
      <c r="A53" s="19"/>
      <c r="B53" s="318" t="s">
        <v>76</v>
      </c>
      <c r="C53" s="318" t="s">
        <v>56</v>
      </c>
      <c r="D53" s="318"/>
      <c r="E53" s="343" t="s">
        <v>33</v>
      </c>
      <c r="F53" s="281" t="s">
        <v>81</v>
      </c>
      <c r="G53" s="281">
        <v>0</v>
      </c>
      <c r="H53" s="281">
        <v>0</v>
      </c>
      <c r="I53" s="281">
        <f>G53-H53</f>
        <v>0</v>
      </c>
      <c r="J53" s="67"/>
      <c r="K53" s="64"/>
      <c r="L53" s="220"/>
      <c r="M53" s="150"/>
      <c r="N53" s="225"/>
      <c r="O53" s="19"/>
      <c r="P53" s="19"/>
      <c r="Q53" s="19"/>
      <c r="R53" s="19"/>
      <c r="S53" s="19"/>
      <c r="T53" s="19"/>
      <c r="U53" s="3"/>
      <c r="V53" s="310"/>
      <c r="W53" s="225"/>
      <c r="X53" s="225"/>
      <c r="Y53" s="3"/>
    </row>
    <row r="54" spans="1:25">
      <c r="A54" s="19">
        <v>58</v>
      </c>
      <c r="B54" s="318" t="s">
        <v>83</v>
      </c>
      <c r="C54" s="280" t="s">
        <v>84</v>
      </c>
      <c r="D54" s="280"/>
      <c r="E54" s="342" t="s">
        <v>33</v>
      </c>
      <c r="F54" s="281" t="s">
        <v>81</v>
      </c>
      <c r="G54" s="281">
        <v>0</v>
      </c>
      <c r="H54" s="281">
        <v>0</v>
      </c>
      <c r="I54" s="281">
        <f>G54-H54</f>
        <v>0</v>
      </c>
      <c r="J54" s="67"/>
      <c r="K54" s="150">
        <v>45996</v>
      </c>
      <c r="L54" s="19" t="s">
        <v>83</v>
      </c>
      <c r="M54" s="150">
        <v>46024</v>
      </c>
      <c r="N54" s="225"/>
      <c r="O54" s="19"/>
      <c r="P54" s="19"/>
      <c r="Q54" s="19"/>
      <c r="R54" s="19"/>
      <c r="S54" s="19"/>
      <c r="T54" s="19"/>
      <c r="U54" s="3"/>
      <c r="V54" s="225"/>
      <c r="W54" s="225"/>
      <c r="X54" s="225"/>
      <c r="Y54" s="225"/>
    </row>
    <row r="55" spans="1:25">
      <c r="A55" s="19">
        <v>59</v>
      </c>
      <c r="B55" s="318" t="s">
        <v>85</v>
      </c>
      <c r="C55" s="280" t="s">
        <v>34</v>
      </c>
      <c r="D55" s="280"/>
      <c r="E55" s="342" t="s">
        <v>33</v>
      </c>
      <c r="F55" s="281" t="s">
        <v>81</v>
      </c>
      <c r="G55" s="281">
        <v>0</v>
      </c>
      <c r="H55" s="281">
        <v>0</v>
      </c>
      <c r="I55" s="281">
        <f>G55-H55</f>
        <v>0</v>
      </c>
      <c r="J55" s="67"/>
      <c r="K55" s="150">
        <v>45996</v>
      </c>
      <c r="L55" s="19" t="s">
        <v>85</v>
      </c>
      <c r="M55" s="150">
        <v>46024</v>
      </c>
      <c r="N55" s="225"/>
      <c r="O55" s="19"/>
      <c r="P55" s="19"/>
      <c r="Q55" s="19"/>
      <c r="R55" s="19"/>
      <c r="S55" s="19"/>
      <c r="T55" s="19"/>
      <c r="U55" s="3"/>
      <c r="V55" s="225"/>
      <c r="W55" s="225"/>
      <c r="X55" s="225"/>
      <c r="Y55" s="225"/>
    </row>
    <row r="56" spans="1:25">
      <c r="A56" s="19">
        <v>60</v>
      </c>
      <c r="B56" s="318" t="s">
        <v>63</v>
      </c>
      <c r="C56" s="280" t="s">
        <v>36</v>
      </c>
      <c r="D56" s="280"/>
      <c r="E56" s="342" t="s">
        <v>33</v>
      </c>
      <c r="F56" s="281" t="s">
        <v>81</v>
      </c>
      <c r="G56" s="281">
        <v>0</v>
      </c>
      <c r="H56" s="281">
        <v>0</v>
      </c>
      <c r="I56" s="281">
        <f>G56-H56</f>
        <v>0</v>
      </c>
      <c r="J56" s="67"/>
      <c r="K56" s="64">
        <v>45922</v>
      </c>
      <c r="L56" s="64" t="s">
        <v>63</v>
      </c>
      <c r="M56" s="150">
        <v>45922</v>
      </c>
      <c r="N56" s="225"/>
      <c r="O56" s="19"/>
      <c r="P56" s="19"/>
      <c r="Q56" s="19"/>
      <c r="R56" s="19"/>
      <c r="S56" s="19"/>
      <c r="T56" s="19"/>
      <c r="U56" s="3"/>
      <c r="V56" s="225"/>
      <c r="W56" s="225"/>
      <c r="X56" s="225"/>
      <c r="Y56" s="225"/>
    </row>
    <row r="57" spans="1:25">
      <c r="A57" s="19">
        <v>61</v>
      </c>
      <c r="B57" s="318" t="s">
        <v>64</v>
      </c>
      <c r="C57" s="280" t="s">
        <v>37</v>
      </c>
      <c r="D57" s="280"/>
      <c r="E57" s="342" t="s">
        <v>33</v>
      </c>
      <c r="F57" s="281" t="s">
        <v>81</v>
      </c>
      <c r="G57" s="281">
        <v>0</v>
      </c>
      <c r="H57" s="281">
        <v>0</v>
      </c>
      <c r="I57" s="281">
        <f>G57-H57</f>
        <v>0</v>
      </c>
      <c r="J57" s="67"/>
      <c r="K57" s="64">
        <v>45922</v>
      </c>
      <c r="L57" s="64" t="s">
        <v>64</v>
      </c>
      <c r="M57" s="150">
        <v>45922</v>
      </c>
      <c r="N57" s="225"/>
      <c r="O57" s="19"/>
      <c r="P57" s="19"/>
      <c r="Q57" s="19"/>
      <c r="R57" s="19"/>
      <c r="S57" s="19"/>
      <c r="T57" s="19"/>
      <c r="U57" s="3"/>
      <c r="V57" s="225"/>
      <c r="W57" s="225"/>
      <c r="X57" s="225"/>
      <c r="Y57" s="225"/>
    </row>
    <row r="58" spans="1:25">
      <c r="A58" s="19">
        <v>62</v>
      </c>
      <c r="B58" s="318" t="s">
        <v>65</v>
      </c>
      <c r="C58" s="280" t="s">
        <v>39</v>
      </c>
      <c r="D58" s="280"/>
      <c r="E58" s="342" t="s">
        <v>33</v>
      </c>
      <c r="F58" s="281" t="s">
        <v>81</v>
      </c>
      <c r="G58" s="281">
        <v>9000</v>
      </c>
      <c r="H58" s="281">
        <v>0</v>
      </c>
      <c r="I58" s="281">
        <f>G58-H58</f>
        <v>9000</v>
      </c>
      <c r="J58" s="67"/>
      <c r="K58" s="64">
        <v>45922</v>
      </c>
      <c r="L58" s="64" t="s">
        <v>65</v>
      </c>
      <c r="M58" s="150">
        <v>46024</v>
      </c>
      <c r="N58" s="225"/>
      <c r="O58" s="19"/>
      <c r="P58" s="19"/>
      <c r="Q58" s="19"/>
      <c r="R58" s="19"/>
      <c r="S58" s="19"/>
      <c r="T58" s="19"/>
      <c r="U58" s="3"/>
      <c r="V58" s="225"/>
      <c r="W58" s="225"/>
      <c r="X58" s="225"/>
      <c r="Y58" s="225"/>
    </row>
    <row r="59" spans="1:25">
      <c r="A59" s="19">
        <v>63</v>
      </c>
      <c r="B59" s="318" t="s">
        <v>86</v>
      </c>
      <c r="C59" s="280" t="s">
        <v>41</v>
      </c>
      <c r="D59" s="280"/>
      <c r="E59" s="342" t="s">
        <v>33</v>
      </c>
      <c r="F59" s="281" t="s">
        <v>81</v>
      </c>
      <c r="G59" s="281">
        <v>0</v>
      </c>
      <c r="H59" s="281">
        <v>0</v>
      </c>
      <c r="I59" s="281">
        <f>G59-H59</f>
        <v>0</v>
      </c>
      <c r="J59" s="67"/>
      <c r="K59" s="150">
        <v>45996</v>
      </c>
      <c r="L59" s="64" t="s">
        <v>86</v>
      </c>
      <c r="M59" s="150">
        <v>46024</v>
      </c>
      <c r="N59" s="225"/>
      <c r="O59" s="19"/>
      <c r="P59" s="19"/>
      <c r="Q59" s="19"/>
      <c r="R59" s="19"/>
      <c r="S59" s="19"/>
      <c r="T59" s="19"/>
      <c r="U59" s="3"/>
      <c r="V59" s="225"/>
      <c r="W59" s="225"/>
      <c r="X59" s="225"/>
      <c r="Y59" s="225"/>
    </row>
    <row r="60" spans="1:25">
      <c r="A60" s="19">
        <v>64</v>
      </c>
      <c r="B60" s="318" t="s">
        <v>87</v>
      </c>
      <c r="C60" s="280" t="s">
        <v>42</v>
      </c>
      <c r="D60" s="280"/>
      <c r="E60" s="342" t="s">
        <v>33</v>
      </c>
      <c r="F60" s="281" t="s">
        <v>81</v>
      </c>
      <c r="G60" s="281">
        <v>0</v>
      </c>
      <c r="H60" s="281">
        <v>0</v>
      </c>
      <c r="I60" s="281">
        <f>G60-H60</f>
        <v>0</v>
      </c>
      <c r="J60" s="67"/>
      <c r="K60" s="150">
        <v>45996</v>
      </c>
      <c r="L60" s="64" t="s">
        <v>87</v>
      </c>
      <c r="M60" s="150">
        <v>46024</v>
      </c>
      <c r="N60" s="225"/>
      <c r="O60" s="19"/>
      <c r="P60" s="19"/>
      <c r="Q60" s="19"/>
      <c r="R60" s="19"/>
      <c r="S60" s="19"/>
      <c r="T60" s="19"/>
      <c r="U60" s="3"/>
      <c r="V60" s="225"/>
      <c r="W60" s="225"/>
      <c r="X60" s="225"/>
      <c r="Y60" s="225"/>
    </row>
    <row r="61" spans="1:25">
      <c r="A61" s="19">
        <v>65</v>
      </c>
      <c r="B61" s="318" t="s">
        <v>66</v>
      </c>
      <c r="C61" s="280" t="s">
        <v>44</v>
      </c>
      <c r="D61" s="280"/>
      <c r="E61" s="342" t="s">
        <v>33</v>
      </c>
      <c r="F61" s="281" t="s">
        <v>81</v>
      </c>
      <c r="G61" s="281">
        <v>200</v>
      </c>
      <c r="H61" s="281">
        <v>0</v>
      </c>
      <c r="I61" s="281">
        <f>G61-H61</f>
        <v>200</v>
      </c>
      <c r="J61" s="67"/>
      <c r="K61" s="64">
        <v>45922</v>
      </c>
      <c r="L61" s="64" t="s">
        <v>66</v>
      </c>
      <c r="M61" s="150">
        <v>45922</v>
      </c>
      <c r="N61" s="225"/>
      <c r="O61" s="19"/>
      <c r="P61" s="19"/>
      <c r="Q61" s="19"/>
      <c r="R61" s="19"/>
      <c r="S61" s="19"/>
      <c r="T61" s="19"/>
      <c r="U61" s="3"/>
      <c r="V61" s="225"/>
      <c r="W61" s="225"/>
      <c r="X61" s="225"/>
      <c r="Y61" s="225"/>
    </row>
    <row r="62" spans="1:25">
      <c r="A62" s="19">
        <v>66</v>
      </c>
      <c r="B62" s="318" t="s">
        <v>67</v>
      </c>
      <c r="C62" s="280" t="s">
        <v>45</v>
      </c>
      <c r="D62" s="280"/>
      <c r="E62" s="342" t="s">
        <v>33</v>
      </c>
      <c r="F62" s="281" t="s">
        <v>81</v>
      </c>
      <c r="G62" s="281">
        <v>200</v>
      </c>
      <c r="H62" s="281">
        <v>0</v>
      </c>
      <c r="I62" s="281">
        <f>G62-H62</f>
        <v>200</v>
      </c>
      <c r="J62" s="67"/>
      <c r="K62" s="64">
        <v>45922</v>
      </c>
      <c r="L62" s="64" t="s">
        <v>67</v>
      </c>
      <c r="M62" s="150">
        <v>45922</v>
      </c>
      <c r="N62" s="225"/>
      <c r="O62" s="19"/>
      <c r="P62" s="19"/>
      <c r="Q62" s="19"/>
      <c r="R62" s="19"/>
      <c r="S62" s="19"/>
      <c r="T62" s="19"/>
      <c r="U62" s="3"/>
      <c r="V62" s="225"/>
      <c r="W62" s="225"/>
      <c r="X62" s="225"/>
      <c r="Y62" s="225"/>
    </row>
    <row r="63" spans="1:25">
      <c r="A63" s="19">
        <v>67</v>
      </c>
      <c r="B63" s="318" t="s">
        <v>68</v>
      </c>
      <c r="C63" s="280" t="s">
        <v>47</v>
      </c>
      <c r="D63" s="280"/>
      <c r="E63" s="342" t="s">
        <v>33</v>
      </c>
      <c r="F63" s="281" t="s">
        <v>81</v>
      </c>
      <c r="G63" s="281">
        <v>204</v>
      </c>
      <c r="H63" s="281">
        <v>0</v>
      </c>
      <c r="I63" s="281">
        <f>G63-H63</f>
        <v>204</v>
      </c>
      <c r="J63" s="67"/>
      <c r="K63" s="64">
        <v>45922</v>
      </c>
      <c r="L63" s="64" t="s">
        <v>68</v>
      </c>
      <c r="M63" s="150">
        <v>45922</v>
      </c>
      <c r="N63" s="225"/>
      <c r="O63" s="19"/>
      <c r="P63" s="19"/>
      <c r="Q63" s="19"/>
      <c r="R63" s="19"/>
      <c r="S63" s="19"/>
      <c r="T63" s="19"/>
      <c r="U63" s="3"/>
      <c r="V63" s="225"/>
      <c r="W63" s="225"/>
      <c r="X63" s="225"/>
      <c r="Y63" s="225"/>
    </row>
    <row r="64" spans="1:25">
      <c r="A64" s="19">
        <v>68</v>
      </c>
      <c r="B64" s="318" t="s">
        <v>69</v>
      </c>
      <c r="C64" s="280" t="s">
        <v>49</v>
      </c>
      <c r="D64" s="280"/>
      <c r="E64" s="342" t="s">
        <v>23</v>
      </c>
      <c r="F64" s="281" t="s">
        <v>81</v>
      </c>
      <c r="G64" s="281">
        <v>400</v>
      </c>
      <c r="H64" s="281">
        <v>0</v>
      </c>
      <c r="I64" s="281">
        <f>G64-H64</f>
        <v>400</v>
      </c>
      <c r="J64" s="67"/>
      <c r="K64" s="64">
        <v>45922</v>
      </c>
      <c r="L64" s="64" t="s">
        <v>69</v>
      </c>
      <c r="M64" s="150">
        <v>45922</v>
      </c>
      <c r="N64" s="225"/>
      <c r="O64" s="19"/>
      <c r="P64" s="19"/>
      <c r="Q64" s="19"/>
      <c r="R64" s="19"/>
      <c r="S64" s="19"/>
      <c r="T64" s="19"/>
      <c r="U64" s="3"/>
      <c r="V64" s="225"/>
      <c r="W64" s="225"/>
      <c r="X64" s="225"/>
      <c r="Y64" s="225"/>
    </row>
    <row r="65" spans="1:25">
      <c r="A65" s="19">
        <v>69</v>
      </c>
      <c r="B65" s="318" t="s">
        <v>70</v>
      </c>
      <c r="C65" s="280" t="s">
        <v>51</v>
      </c>
      <c r="D65" s="280"/>
      <c r="E65" s="342" t="s">
        <v>23</v>
      </c>
      <c r="F65" s="281" t="s">
        <v>81</v>
      </c>
      <c r="G65" s="281">
        <v>800</v>
      </c>
      <c r="H65" s="281">
        <v>0</v>
      </c>
      <c r="I65" s="281">
        <f>G65-H65</f>
        <v>800</v>
      </c>
      <c r="J65" s="67"/>
      <c r="K65" s="64">
        <v>45922</v>
      </c>
      <c r="L65" s="251" t="s">
        <v>70</v>
      </c>
      <c r="M65" s="150">
        <v>45922</v>
      </c>
      <c r="N65" s="225"/>
      <c r="O65" s="19"/>
      <c r="P65" s="19"/>
      <c r="Q65" s="19"/>
      <c r="R65" s="19"/>
      <c r="S65" s="19"/>
      <c r="T65" s="19"/>
      <c r="U65" s="3"/>
      <c r="V65" s="225"/>
      <c r="W65" s="225"/>
      <c r="X65" s="225"/>
      <c r="Y65" s="225"/>
    </row>
    <row r="66" spans="1:25">
      <c r="A66" s="19">
        <v>70</v>
      </c>
      <c r="B66" s="318" t="s">
        <v>80</v>
      </c>
      <c r="C66" s="280" t="s">
        <v>53</v>
      </c>
      <c r="D66" s="280"/>
      <c r="E66" s="342" t="s">
        <v>23</v>
      </c>
      <c r="F66" s="281" t="s">
        <v>81</v>
      </c>
      <c r="G66" s="281">
        <v>0</v>
      </c>
      <c r="H66" s="281">
        <v>0</v>
      </c>
      <c r="I66" s="281">
        <f>G66-H66</f>
        <v>0</v>
      </c>
      <c r="J66" s="67"/>
      <c r="K66" s="64">
        <v>45922</v>
      </c>
      <c r="L66" s="220" t="s">
        <v>80</v>
      </c>
      <c r="M66" s="150">
        <v>45922</v>
      </c>
      <c r="N66" s="225"/>
      <c r="O66" s="19"/>
      <c r="P66" s="19"/>
      <c r="Q66" s="19"/>
      <c r="R66" s="19"/>
      <c r="S66" s="19"/>
      <c r="T66" s="19"/>
      <c r="U66" s="3"/>
      <c r="V66" s="225"/>
      <c r="W66" s="225"/>
      <c r="X66" s="225"/>
      <c r="Y66" s="225"/>
    </row>
    <row r="67" spans="1:25">
      <c r="A67" s="19">
        <v>71</v>
      </c>
      <c r="B67" s="318" t="s">
        <v>62</v>
      </c>
      <c r="C67" s="280" t="s">
        <v>22</v>
      </c>
      <c r="D67" s="280"/>
      <c r="E67" s="342" t="s">
        <v>23</v>
      </c>
      <c r="F67" s="281" t="s">
        <v>81</v>
      </c>
      <c r="G67" s="281">
        <v>0</v>
      </c>
      <c r="H67" s="281">
        <v>0</v>
      </c>
      <c r="I67" s="281">
        <f>G67-H67</f>
        <v>0</v>
      </c>
      <c r="J67" s="67"/>
      <c r="K67" s="64">
        <v>45922</v>
      </c>
      <c r="L67" s="220" t="s">
        <v>62</v>
      </c>
      <c r="M67" s="150">
        <v>45922</v>
      </c>
      <c r="N67" s="225"/>
      <c r="O67" s="19"/>
      <c r="P67" s="19"/>
      <c r="Q67" s="19"/>
      <c r="R67" s="19"/>
      <c r="S67" s="19"/>
      <c r="T67" s="19"/>
      <c r="U67" s="3"/>
      <c r="V67" s="225"/>
      <c r="W67" s="225"/>
      <c r="X67" s="225"/>
      <c r="Y67" s="225"/>
    </row>
    <row r="68" spans="1:25">
      <c r="A68" s="19">
        <v>72</v>
      </c>
      <c r="B68" s="318" t="s">
        <v>60</v>
      </c>
      <c r="C68" s="280" t="s">
        <v>61</v>
      </c>
      <c r="D68" s="280"/>
      <c r="E68" s="280" t="s">
        <v>23</v>
      </c>
      <c r="F68" s="344" t="s">
        <v>81</v>
      </c>
      <c r="G68" s="344">
        <v>0</v>
      </c>
      <c r="H68" s="344">
        <v>0</v>
      </c>
      <c r="I68" s="344">
        <f>G68-H68</f>
        <v>0</v>
      </c>
      <c r="J68" s="19"/>
      <c r="K68" s="64">
        <v>45922</v>
      </c>
      <c r="L68" s="221" t="s">
        <v>60</v>
      </c>
      <c r="M68" s="118">
        <v>45979</v>
      </c>
      <c r="N68" s="225"/>
      <c r="O68" s="19"/>
      <c r="P68" s="19"/>
      <c r="Q68" s="19"/>
      <c r="R68" s="19"/>
      <c r="S68" s="19"/>
      <c r="T68" s="19"/>
      <c r="U68" s="3"/>
      <c r="V68" s="225"/>
      <c r="W68" s="225"/>
      <c r="X68" s="225"/>
      <c r="Y68" s="225"/>
    </row>
  </sheetData>
  <autoFilter ref="A1:Y68" xr:uid="{C369F27C-EAB9-41FB-9D83-5C6648ABB01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A000-C1FA-4D5B-B6A9-81827BA5BB47}">
  <dimension ref="A1:CG59"/>
  <sheetViews>
    <sheetView workbookViewId="0">
      <pane xSplit="5" ySplit="1" topLeftCell="CG47" activePane="bottomRight" state="frozen"/>
      <selection pane="bottomRight" activeCell="CG47" sqref="CG47"/>
      <selection pane="bottomLeft" activeCell="A3" sqref="A3"/>
      <selection pane="topRight" activeCell="C2" sqref="C2"/>
    </sheetView>
  </sheetViews>
  <sheetFormatPr defaultColWidth="8.85546875" defaultRowHeight="15" outlineLevelCol="1"/>
  <cols>
    <col min="1" max="1" width="6.7109375" customWidth="1"/>
    <col min="2" max="2" width="17.42578125" customWidth="1"/>
    <col min="3" max="3" width="13.28515625" customWidth="1"/>
    <col min="4" max="4" width="14.7109375" bestFit="1" customWidth="1"/>
    <col min="5" max="5" width="8.85546875" style="1" customWidth="1"/>
    <col min="6" max="6" width="8.85546875" customWidth="1"/>
    <col min="7" max="19" width="8.85546875" customWidth="1" outlineLevel="1"/>
    <col min="20" max="20" width="8.140625" customWidth="1" outlineLevel="1"/>
    <col min="21" max="23" width="8.85546875" customWidth="1" outlineLevel="1"/>
    <col min="24" max="24" width="8.85546875" customWidth="1"/>
    <col min="25" max="32" width="8.85546875" customWidth="1" outlineLevel="1"/>
    <col min="33" max="33" width="8.7109375" customWidth="1" outlineLevel="1"/>
    <col min="34" max="34" width="8.85546875" customWidth="1" outlineLevel="1"/>
    <col min="35" max="36" width="9.42578125" style="3" customWidth="1" outlineLevel="1"/>
    <col min="37" max="54" width="8.85546875" customWidth="1" outlineLevel="1"/>
    <col min="55" max="55" width="8.85546875" customWidth="1"/>
    <col min="56" max="84" width="8.85546875" customWidth="1" outlineLevel="1"/>
    <col min="86" max="16384" width="8.85546875" style="144"/>
  </cols>
  <sheetData>
    <row r="1" spans="1:85">
      <c r="A1" s="19" t="s">
        <v>108</v>
      </c>
      <c r="B1" s="19" t="s">
        <v>2</v>
      </c>
      <c r="C1" s="19" t="s">
        <v>109</v>
      </c>
      <c r="D1" s="19" t="s">
        <v>110</v>
      </c>
      <c r="E1" s="19" t="s">
        <v>4</v>
      </c>
      <c r="F1" s="58" t="s">
        <v>111</v>
      </c>
      <c r="G1" s="58">
        <v>15</v>
      </c>
      <c r="H1" s="58">
        <v>16</v>
      </c>
      <c r="I1" s="58">
        <v>17</v>
      </c>
      <c r="J1" s="58">
        <v>18</v>
      </c>
      <c r="K1" s="19">
        <v>19</v>
      </c>
      <c r="L1" s="22">
        <v>20</v>
      </c>
      <c r="M1" s="19">
        <v>21</v>
      </c>
      <c r="N1" s="19">
        <v>22</v>
      </c>
      <c r="O1" s="19">
        <v>23</v>
      </c>
      <c r="P1" s="19">
        <v>24</v>
      </c>
      <c r="Q1" s="19">
        <v>25</v>
      </c>
      <c r="R1" s="19">
        <v>26</v>
      </c>
      <c r="S1" s="22">
        <v>27</v>
      </c>
      <c r="T1" s="19">
        <v>28</v>
      </c>
      <c r="U1" s="19">
        <v>29</v>
      </c>
      <c r="V1" s="19">
        <v>30</v>
      </c>
      <c r="W1" s="19">
        <v>31</v>
      </c>
      <c r="X1" s="74" t="s">
        <v>112</v>
      </c>
      <c r="Y1" s="19">
        <v>2</v>
      </c>
      <c r="Z1" s="22">
        <v>3</v>
      </c>
      <c r="AA1" s="19">
        <v>4</v>
      </c>
      <c r="AB1" s="19">
        <v>5</v>
      </c>
      <c r="AC1" s="19">
        <v>6</v>
      </c>
      <c r="AD1" s="19">
        <v>7</v>
      </c>
      <c r="AE1" s="19">
        <v>8</v>
      </c>
      <c r="AF1" s="19">
        <v>9</v>
      </c>
      <c r="AG1" s="21">
        <v>10</v>
      </c>
      <c r="AH1" s="81">
        <v>11</v>
      </c>
      <c r="AI1" s="82">
        <v>12</v>
      </c>
      <c r="AJ1" s="82">
        <v>13</v>
      </c>
      <c r="AK1" s="83">
        <v>14</v>
      </c>
      <c r="AL1" s="82">
        <v>15</v>
      </c>
      <c r="AM1" s="82">
        <v>16</v>
      </c>
      <c r="AN1" s="21">
        <v>17</v>
      </c>
      <c r="AO1" s="20">
        <v>18</v>
      </c>
      <c r="AP1" s="20">
        <v>19</v>
      </c>
      <c r="AQ1" s="20">
        <v>20</v>
      </c>
      <c r="AR1" s="20">
        <v>21</v>
      </c>
      <c r="AS1" s="20">
        <v>22</v>
      </c>
      <c r="AT1" s="20">
        <v>23</v>
      </c>
      <c r="AU1" s="21">
        <v>24</v>
      </c>
      <c r="AV1" s="20">
        <v>25</v>
      </c>
      <c r="AW1" s="20">
        <v>26</v>
      </c>
      <c r="AX1" s="20">
        <v>27</v>
      </c>
      <c r="AY1" s="20">
        <v>28</v>
      </c>
      <c r="AZ1" s="20">
        <v>29</v>
      </c>
      <c r="BA1" s="20">
        <v>30</v>
      </c>
      <c r="BB1" s="33">
        <v>31</v>
      </c>
      <c r="BC1" s="74" t="s">
        <v>113</v>
      </c>
      <c r="BD1" s="19">
        <v>2</v>
      </c>
      <c r="BE1" s="19">
        <v>3</v>
      </c>
      <c r="BF1" s="19">
        <v>4</v>
      </c>
      <c r="BG1" s="19">
        <v>5</v>
      </c>
      <c r="BH1" s="19">
        <v>6</v>
      </c>
      <c r="BI1" s="39">
        <v>7</v>
      </c>
      <c r="BJ1" s="19">
        <v>8</v>
      </c>
      <c r="BK1" s="19">
        <v>9</v>
      </c>
      <c r="BL1" s="19">
        <v>10</v>
      </c>
      <c r="BM1" s="19">
        <v>11</v>
      </c>
      <c r="BN1" s="19">
        <v>12</v>
      </c>
      <c r="BO1" s="19">
        <v>13</v>
      </c>
      <c r="BP1" s="39">
        <v>14</v>
      </c>
      <c r="BQ1" s="19">
        <v>15</v>
      </c>
      <c r="BR1" s="19">
        <v>16</v>
      </c>
      <c r="BS1" s="19">
        <v>17</v>
      </c>
      <c r="BT1" s="19">
        <v>18</v>
      </c>
      <c r="BU1" s="19">
        <v>19</v>
      </c>
      <c r="BV1" s="19">
        <v>20</v>
      </c>
      <c r="BW1" s="39">
        <v>21</v>
      </c>
      <c r="BX1" s="19">
        <v>22</v>
      </c>
      <c r="BY1" s="19">
        <v>23</v>
      </c>
      <c r="BZ1" s="19">
        <v>24</v>
      </c>
      <c r="CA1" s="19">
        <v>25</v>
      </c>
      <c r="CB1" s="19">
        <v>26</v>
      </c>
      <c r="CC1" s="19">
        <v>27</v>
      </c>
      <c r="CD1" s="39">
        <v>28</v>
      </c>
      <c r="CE1" s="19">
        <v>29</v>
      </c>
      <c r="CF1" s="19">
        <v>30</v>
      </c>
      <c r="CG1" s="40" t="s">
        <v>114</v>
      </c>
    </row>
    <row r="2" spans="1:85">
      <c r="A2" s="23" t="s">
        <v>108</v>
      </c>
      <c r="B2" s="24" t="s">
        <v>84</v>
      </c>
      <c r="C2" s="25">
        <f t="shared" ref="C2:C20" si="0">SUM(F2:XI2)-D2</f>
        <v>0</v>
      </c>
      <c r="D2" s="25">
        <v>600</v>
      </c>
      <c r="E2" s="25" t="s">
        <v>115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3"/>
      <c r="T2" s="23">
        <v>20</v>
      </c>
      <c r="U2" s="23"/>
      <c r="V2" s="23">
        <v>50</v>
      </c>
      <c r="W2" s="23">
        <v>50</v>
      </c>
      <c r="X2" s="23">
        <v>50</v>
      </c>
      <c r="Y2" s="23">
        <v>50</v>
      </c>
      <c r="Z2" s="25"/>
      <c r="AA2" s="23">
        <v>50</v>
      </c>
      <c r="AB2" s="23">
        <v>30</v>
      </c>
      <c r="AC2" s="23">
        <v>0</v>
      </c>
      <c r="AD2" s="25"/>
      <c r="AE2" s="25"/>
      <c r="AF2" s="25"/>
      <c r="AG2" s="25"/>
      <c r="AH2" s="34"/>
      <c r="AI2" s="25"/>
      <c r="AJ2" s="25"/>
      <c r="AK2" s="49"/>
      <c r="AL2" s="25"/>
      <c r="AM2" s="25"/>
      <c r="AN2" s="25"/>
      <c r="AO2" s="25"/>
      <c r="AP2" s="25"/>
      <c r="AQ2" s="25"/>
      <c r="AR2" s="25">
        <v>100</v>
      </c>
      <c r="AS2" s="25">
        <v>100</v>
      </c>
      <c r="AT2" s="25">
        <v>100</v>
      </c>
      <c r="AU2" s="50"/>
      <c r="AV2" s="50"/>
      <c r="AW2" s="50"/>
      <c r="AX2" s="50"/>
      <c r="AY2" s="25"/>
      <c r="AZ2" s="25"/>
      <c r="BA2" s="25"/>
      <c r="BB2" s="34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41"/>
    </row>
    <row r="3" spans="1:85">
      <c r="A3" s="23" t="s">
        <v>108</v>
      </c>
      <c r="B3" s="24" t="s">
        <v>34</v>
      </c>
      <c r="C3" s="25">
        <f t="shared" si="0"/>
        <v>0</v>
      </c>
      <c r="D3" s="25">
        <v>600</v>
      </c>
      <c r="E3" s="25" t="s">
        <v>115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3"/>
      <c r="T3" s="23">
        <v>20</v>
      </c>
      <c r="U3" s="23"/>
      <c r="V3" s="23">
        <v>50</v>
      </c>
      <c r="W3" s="23">
        <v>50</v>
      </c>
      <c r="X3" s="23">
        <v>50</v>
      </c>
      <c r="Y3" s="23">
        <v>50</v>
      </c>
      <c r="Z3" s="25"/>
      <c r="AA3" s="23">
        <v>50</v>
      </c>
      <c r="AB3" s="23">
        <v>30</v>
      </c>
      <c r="AC3" s="23">
        <v>0</v>
      </c>
      <c r="AD3" s="25"/>
      <c r="AE3" s="25"/>
      <c r="AF3" s="25"/>
      <c r="AG3" s="25"/>
      <c r="AH3" s="75"/>
      <c r="AI3" s="23"/>
      <c r="AJ3" s="23"/>
      <c r="AK3" s="71"/>
      <c r="AL3" s="23"/>
      <c r="AM3" s="23"/>
      <c r="AN3" s="23"/>
      <c r="AO3" s="23"/>
      <c r="AP3" s="23"/>
      <c r="AQ3" s="23"/>
      <c r="AR3" s="25">
        <v>100</v>
      </c>
      <c r="AS3" s="25">
        <v>100</v>
      </c>
      <c r="AT3" s="34">
        <v>100</v>
      </c>
      <c r="AU3" s="25"/>
      <c r="AV3" s="25"/>
      <c r="AW3" s="25"/>
      <c r="AX3" s="25"/>
      <c r="AY3" s="70"/>
      <c r="AZ3" s="50"/>
      <c r="BA3" s="50"/>
      <c r="BB3" s="61"/>
      <c r="BC3" s="48"/>
      <c r="BD3" s="48"/>
      <c r="BE3" s="48"/>
      <c r="BF3" s="48"/>
      <c r="BG3" s="48"/>
      <c r="BH3" s="48"/>
      <c r="BI3" s="48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41"/>
    </row>
    <row r="4" spans="1:85">
      <c r="A4" s="23" t="s">
        <v>108</v>
      </c>
      <c r="B4" s="24" t="s">
        <v>36</v>
      </c>
      <c r="C4" s="25">
        <f t="shared" si="0"/>
        <v>0</v>
      </c>
      <c r="D4" s="25">
        <v>600</v>
      </c>
      <c r="E4" s="25" t="s">
        <v>115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3">
        <v>50</v>
      </c>
      <c r="V4" s="25">
        <v>110</v>
      </c>
      <c r="W4" s="25">
        <v>110</v>
      </c>
      <c r="X4" s="25">
        <v>110</v>
      </c>
      <c r="Y4" s="25">
        <v>110</v>
      </c>
      <c r="Z4" s="25"/>
      <c r="AA4" s="25">
        <v>110</v>
      </c>
      <c r="AB4" s="25"/>
      <c r="AC4" s="25"/>
      <c r="AD4" s="25"/>
      <c r="AE4" s="25"/>
      <c r="AF4" s="25"/>
      <c r="AG4" s="25"/>
      <c r="AH4" s="34"/>
      <c r="AI4" s="25"/>
      <c r="AJ4" s="25"/>
      <c r="AK4" s="49"/>
      <c r="AL4" s="25"/>
      <c r="AM4" s="25"/>
      <c r="AN4" s="50"/>
      <c r="AO4" s="50"/>
      <c r="AP4" s="50"/>
      <c r="AQ4" s="50"/>
      <c r="AR4" s="50"/>
      <c r="AS4" s="50"/>
      <c r="AT4" s="61"/>
      <c r="AU4" s="25"/>
      <c r="AV4" s="25"/>
      <c r="AW4" s="25"/>
      <c r="AX4" s="25"/>
      <c r="AY4" s="70"/>
      <c r="AZ4" s="34"/>
      <c r="BA4" s="25"/>
      <c r="BB4" s="25"/>
      <c r="BC4" s="27"/>
      <c r="BD4" s="27"/>
      <c r="BE4" s="27"/>
      <c r="BF4" s="27"/>
      <c r="BG4" s="27"/>
      <c r="BH4" s="27"/>
      <c r="BI4" s="27"/>
      <c r="BJ4" s="3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41"/>
    </row>
    <row r="5" spans="1:85">
      <c r="A5" s="23" t="s">
        <v>108</v>
      </c>
      <c r="B5" s="24" t="s">
        <v>37</v>
      </c>
      <c r="C5" s="25">
        <f t="shared" si="0"/>
        <v>0</v>
      </c>
      <c r="D5" s="25">
        <v>550</v>
      </c>
      <c r="E5" s="25" t="s">
        <v>115</v>
      </c>
      <c r="F5" s="25"/>
      <c r="G5" s="25"/>
      <c r="H5" s="25"/>
      <c r="I5" s="25"/>
      <c r="J5" s="25"/>
      <c r="K5" s="25"/>
      <c r="L5" s="25"/>
      <c r="M5" s="25"/>
      <c r="N5" s="25"/>
      <c r="O5" s="25">
        <v>0</v>
      </c>
      <c r="P5" s="25">
        <v>80</v>
      </c>
      <c r="Q5" s="25">
        <v>110</v>
      </c>
      <c r="R5" s="25">
        <v>110</v>
      </c>
      <c r="S5" s="25">
        <v>80</v>
      </c>
      <c r="T5" s="25">
        <v>110</v>
      </c>
      <c r="U5" s="25">
        <v>60</v>
      </c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34"/>
      <c r="AI5" s="25"/>
      <c r="AJ5" s="25"/>
      <c r="AK5" s="49"/>
      <c r="AL5" s="25"/>
      <c r="AM5" s="34"/>
      <c r="AN5" s="25"/>
      <c r="AO5" s="25"/>
      <c r="AP5" s="25"/>
      <c r="AQ5" s="25"/>
      <c r="AR5" s="25"/>
      <c r="AS5" s="25"/>
      <c r="AT5" s="34"/>
      <c r="AU5" s="25"/>
      <c r="AV5" s="25"/>
      <c r="AW5" s="25"/>
      <c r="AX5" s="25"/>
      <c r="AY5" s="49"/>
      <c r="AZ5" s="34"/>
      <c r="BA5" s="25"/>
      <c r="BB5" s="25"/>
      <c r="BC5" s="27"/>
      <c r="BD5" s="27"/>
      <c r="BE5" s="27"/>
      <c r="BF5" s="27"/>
      <c r="BG5" s="27"/>
      <c r="BH5" s="27"/>
      <c r="BI5" s="27"/>
      <c r="BJ5" s="3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59"/>
    </row>
    <row r="6" spans="1:85">
      <c r="A6" s="23" t="s">
        <v>108</v>
      </c>
      <c r="B6" s="24" t="s">
        <v>72</v>
      </c>
      <c r="C6" s="25">
        <f t="shared" si="0"/>
        <v>0</v>
      </c>
      <c r="D6" s="25">
        <f>300+200+500</f>
        <v>1000</v>
      </c>
      <c r="E6" s="25" t="s">
        <v>50</v>
      </c>
      <c r="F6" s="25">
        <v>95</v>
      </c>
      <c r="G6" s="25">
        <v>50</v>
      </c>
      <c r="H6" s="25">
        <v>50</v>
      </c>
      <c r="I6" s="25"/>
      <c r="J6" s="25"/>
      <c r="K6" s="25"/>
      <c r="L6" s="25"/>
      <c r="M6" s="25">
        <v>50</v>
      </c>
      <c r="N6" s="25">
        <v>55</v>
      </c>
      <c r="O6" s="25"/>
      <c r="P6" s="25"/>
      <c r="Q6" s="25"/>
      <c r="R6" s="25"/>
      <c r="S6" s="25"/>
      <c r="T6" s="25"/>
      <c r="U6" s="25"/>
      <c r="V6" s="25"/>
      <c r="W6" s="25">
        <v>75</v>
      </c>
      <c r="X6" s="25">
        <v>75</v>
      </c>
      <c r="Y6" s="25">
        <v>75</v>
      </c>
      <c r="Z6" s="25"/>
      <c r="AA6" s="25">
        <v>75</v>
      </c>
      <c r="AB6" s="25">
        <v>75</v>
      </c>
      <c r="AC6" s="25">
        <v>75</v>
      </c>
      <c r="AD6" s="25">
        <v>75</v>
      </c>
      <c r="AE6" s="25">
        <v>75</v>
      </c>
      <c r="AF6" s="25">
        <v>75</v>
      </c>
      <c r="AG6" s="25"/>
      <c r="AH6" s="34">
        <v>25</v>
      </c>
      <c r="AI6" s="25"/>
      <c r="AJ6" s="25"/>
      <c r="AK6" s="49"/>
      <c r="AL6" s="25"/>
      <c r="AM6" s="34"/>
      <c r="AN6" s="25"/>
      <c r="AO6" s="25"/>
      <c r="AP6" s="49"/>
      <c r="AQ6" s="25"/>
      <c r="AR6" s="34"/>
      <c r="AS6" s="25"/>
      <c r="AT6" s="25"/>
      <c r="AU6" s="62"/>
      <c r="AV6" s="62"/>
      <c r="AW6" s="62"/>
      <c r="AX6" s="62"/>
      <c r="AY6" s="25"/>
      <c r="AZ6" s="34"/>
      <c r="BA6" s="25"/>
      <c r="BB6" s="25"/>
      <c r="BC6" s="27"/>
      <c r="BD6" s="27"/>
      <c r="BE6" s="27"/>
      <c r="BF6" s="27"/>
      <c r="BG6" s="27"/>
      <c r="BH6" s="27"/>
      <c r="BI6" s="27"/>
      <c r="BJ6" s="3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41"/>
      <c r="CG6" s="41"/>
    </row>
    <row r="7" spans="1:85">
      <c r="A7" s="23" t="s">
        <v>108</v>
      </c>
      <c r="B7" s="24" t="s">
        <v>61</v>
      </c>
      <c r="C7" s="25">
        <f t="shared" si="0"/>
        <v>0</v>
      </c>
      <c r="D7" s="25">
        <f>300+200+500</f>
        <v>1000</v>
      </c>
      <c r="E7" s="25" t="s">
        <v>50</v>
      </c>
      <c r="F7" s="25">
        <v>112</v>
      </c>
      <c r="G7" s="25">
        <v>50</v>
      </c>
      <c r="H7" s="25">
        <v>50</v>
      </c>
      <c r="I7" s="25"/>
      <c r="J7" s="25"/>
      <c r="K7" s="25"/>
      <c r="L7" s="25"/>
      <c r="M7" s="25">
        <v>45</v>
      </c>
      <c r="N7" s="25">
        <v>43</v>
      </c>
      <c r="O7" s="25"/>
      <c r="P7" s="25"/>
      <c r="Q7" s="25"/>
      <c r="R7" s="25"/>
      <c r="S7" s="25"/>
      <c r="T7" s="25"/>
      <c r="U7" s="25"/>
      <c r="V7" s="25"/>
      <c r="W7" s="25">
        <v>75</v>
      </c>
      <c r="X7" s="25">
        <v>75</v>
      </c>
      <c r="Y7" s="25">
        <v>75</v>
      </c>
      <c r="Z7" s="25"/>
      <c r="AA7" s="25">
        <v>75</v>
      </c>
      <c r="AB7" s="25">
        <v>75</v>
      </c>
      <c r="AC7" s="25">
        <v>75</v>
      </c>
      <c r="AD7" s="25">
        <v>75</v>
      </c>
      <c r="AE7" s="25">
        <v>75</v>
      </c>
      <c r="AF7" s="25">
        <v>75</v>
      </c>
      <c r="AG7" s="25"/>
      <c r="AH7" s="34">
        <v>25</v>
      </c>
      <c r="AI7" s="25"/>
      <c r="AJ7" s="25"/>
      <c r="AK7" s="49"/>
      <c r="AL7" s="25"/>
      <c r="AM7" s="34"/>
      <c r="AN7" s="25"/>
      <c r="AO7" s="25"/>
      <c r="AP7" s="25"/>
      <c r="AQ7" s="25"/>
      <c r="AR7" s="25"/>
      <c r="AS7" s="25"/>
      <c r="AT7" s="25"/>
      <c r="AU7" s="49"/>
      <c r="AV7" s="25"/>
      <c r="AW7" s="49"/>
      <c r="AX7" s="25"/>
      <c r="AY7" s="34"/>
      <c r="AZ7" s="34"/>
      <c r="BA7" s="25"/>
      <c r="BB7" s="25"/>
      <c r="BC7" s="27"/>
      <c r="BD7" s="27"/>
      <c r="BE7" s="27"/>
      <c r="BF7" s="27"/>
      <c r="BG7" s="27"/>
      <c r="BH7" s="27"/>
      <c r="BI7" s="27"/>
      <c r="BJ7" s="3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6"/>
      <c r="CE7" s="27"/>
      <c r="CF7" s="41"/>
      <c r="CG7" s="41"/>
    </row>
    <row r="8" spans="1:85">
      <c r="A8" s="23" t="s">
        <v>108</v>
      </c>
      <c r="B8" s="24" t="s">
        <v>116</v>
      </c>
      <c r="C8" s="25">
        <f t="shared" si="0"/>
        <v>0</v>
      </c>
      <c r="D8" s="25">
        <f>400+2100</f>
        <v>2500</v>
      </c>
      <c r="E8" s="25" t="s">
        <v>115</v>
      </c>
      <c r="F8" s="25">
        <v>320</v>
      </c>
      <c r="G8" s="25"/>
      <c r="H8" s="79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>
        <v>40</v>
      </c>
      <c r="W8" s="25">
        <v>40</v>
      </c>
      <c r="X8" s="25"/>
      <c r="Y8" s="25">
        <v>80</v>
      </c>
      <c r="Z8" s="25"/>
      <c r="AA8" s="25">
        <v>80</v>
      </c>
      <c r="AB8" s="25">
        <v>80</v>
      </c>
      <c r="AC8" s="25">
        <v>80</v>
      </c>
      <c r="AD8" s="25">
        <v>80</v>
      </c>
      <c r="AE8" s="25">
        <v>100</v>
      </c>
      <c r="AF8" s="25"/>
      <c r="AG8" s="25"/>
      <c r="AH8" s="34"/>
      <c r="AI8" s="25"/>
      <c r="AJ8" s="25"/>
      <c r="AK8" s="49"/>
      <c r="AL8" s="25"/>
      <c r="AM8" s="34"/>
      <c r="AN8" s="25"/>
      <c r="AO8" s="25">
        <v>100</v>
      </c>
      <c r="AP8" s="25">
        <v>100</v>
      </c>
      <c r="AQ8" s="25">
        <v>100</v>
      </c>
      <c r="AR8" s="25">
        <v>100</v>
      </c>
      <c r="AS8" s="25">
        <v>100</v>
      </c>
      <c r="AT8" s="25">
        <v>100</v>
      </c>
      <c r="AU8" s="25"/>
      <c r="AV8" s="25">
        <v>100</v>
      </c>
      <c r="AW8" s="25">
        <v>100</v>
      </c>
      <c r="AX8" s="25">
        <v>100</v>
      </c>
      <c r="AY8" s="25">
        <v>100</v>
      </c>
      <c r="AZ8" s="34">
        <v>100</v>
      </c>
      <c r="BA8" s="25">
        <v>100</v>
      </c>
      <c r="BB8" s="25"/>
      <c r="BC8" s="23">
        <v>100</v>
      </c>
      <c r="BD8" s="23">
        <v>100</v>
      </c>
      <c r="BE8" s="23">
        <v>100</v>
      </c>
      <c r="BF8" s="23">
        <v>100</v>
      </c>
      <c r="BG8" s="23"/>
      <c r="BH8" s="27"/>
      <c r="BI8" s="27"/>
      <c r="BJ8" s="3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60"/>
    </row>
    <row r="9" spans="1:85">
      <c r="A9" s="23" t="s">
        <v>108</v>
      </c>
      <c r="B9" s="24" t="s">
        <v>49</v>
      </c>
      <c r="C9" s="25">
        <f t="shared" si="0"/>
        <v>-800</v>
      </c>
      <c r="D9" s="25">
        <f>420+800+800</f>
        <v>2020</v>
      </c>
      <c r="E9" s="25" t="s">
        <v>50</v>
      </c>
      <c r="F9" s="25"/>
      <c r="G9" s="25"/>
      <c r="H9" s="25"/>
      <c r="I9" s="25"/>
      <c r="J9" s="25"/>
      <c r="K9" s="25">
        <f>90-39</f>
        <v>51</v>
      </c>
      <c r="L9" s="25"/>
      <c r="M9" s="25"/>
      <c r="N9" s="25"/>
      <c r="O9" s="25">
        <v>92</v>
      </c>
      <c r="P9" s="25">
        <v>92</v>
      </c>
      <c r="Q9" s="25">
        <v>92</v>
      </c>
      <c r="R9" s="25">
        <v>93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34"/>
      <c r="AI9" s="25"/>
      <c r="AJ9" s="25"/>
      <c r="AK9" s="49"/>
      <c r="AL9" s="25"/>
      <c r="AM9" s="25"/>
      <c r="AN9" s="62"/>
      <c r="AO9" s="62">
        <v>130</v>
      </c>
      <c r="AP9" s="62">
        <v>130</v>
      </c>
      <c r="AQ9" s="62">
        <v>130</v>
      </c>
      <c r="AR9" s="62">
        <v>130</v>
      </c>
      <c r="AS9" s="62">
        <v>130</v>
      </c>
      <c r="AT9" s="62">
        <v>150</v>
      </c>
      <c r="AU9" s="38"/>
      <c r="AV9" s="62"/>
      <c r="AW9" s="62"/>
      <c r="AX9" s="62"/>
      <c r="AY9" s="63"/>
      <c r="AZ9" s="63"/>
      <c r="BA9" s="25"/>
      <c r="BB9" s="25"/>
      <c r="BC9" s="27"/>
      <c r="BD9" s="27"/>
      <c r="BE9" s="27"/>
      <c r="BF9" s="27"/>
      <c r="BG9" s="27"/>
      <c r="BH9" s="27"/>
      <c r="BI9" s="27"/>
      <c r="BJ9" s="3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5"/>
      <c r="CF9" s="25"/>
      <c r="CG9" s="34"/>
    </row>
    <row r="10" spans="1:85">
      <c r="A10" s="23" t="s">
        <v>108</v>
      </c>
      <c r="B10" s="24" t="s">
        <v>51</v>
      </c>
      <c r="C10" s="25">
        <f t="shared" si="0"/>
        <v>-1600</v>
      </c>
      <c r="D10" s="25">
        <f>780+1600+1600</f>
        <v>3980</v>
      </c>
      <c r="E10" s="25" t="s">
        <v>50</v>
      </c>
      <c r="F10" s="25"/>
      <c r="G10" s="25"/>
      <c r="H10" s="25">
        <v>115</v>
      </c>
      <c r="I10" s="25">
        <v>90</v>
      </c>
      <c r="J10" s="25">
        <v>90</v>
      </c>
      <c r="K10" s="25">
        <v>90</v>
      </c>
      <c r="L10" s="25"/>
      <c r="M10" s="25"/>
      <c r="N10" s="25"/>
      <c r="O10" s="25">
        <v>99</v>
      </c>
      <c r="P10" s="25">
        <v>99</v>
      </c>
      <c r="Q10" s="25">
        <v>99</v>
      </c>
      <c r="R10" s="25">
        <v>98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34"/>
      <c r="AI10" s="25"/>
      <c r="AJ10" s="25"/>
      <c r="AK10" s="49"/>
      <c r="AL10" s="25"/>
      <c r="AM10" s="25"/>
      <c r="AN10" s="25"/>
      <c r="AO10" s="25">
        <v>150</v>
      </c>
      <c r="AP10" s="25">
        <v>150</v>
      </c>
      <c r="AQ10" s="25">
        <v>150</v>
      </c>
      <c r="AR10" s="25">
        <v>150</v>
      </c>
      <c r="AS10" s="25">
        <v>150</v>
      </c>
      <c r="AT10" s="25">
        <v>150</v>
      </c>
      <c r="AU10" s="27"/>
      <c r="AV10" s="25">
        <v>150</v>
      </c>
      <c r="AW10" s="25">
        <v>150</v>
      </c>
      <c r="AX10" s="25">
        <v>150</v>
      </c>
      <c r="AY10" s="34">
        <v>150</v>
      </c>
      <c r="AZ10" s="75">
        <v>100</v>
      </c>
      <c r="BA10" s="27"/>
      <c r="BB10" s="27"/>
      <c r="BC10" s="27"/>
      <c r="BD10" s="27"/>
      <c r="BE10" s="27"/>
      <c r="BF10" s="27"/>
      <c r="BG10" s="27"/>
      <c r="BH10" s="27"/>
      <c r="BI10" s="27"/>
      <c r="BJ10" s="3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5"/>
      <c r="BY10" s="25"/>
      <c r="BZ10" s="25"/>
      <c r="CA10" s="25"/>
      <c r="CB10" s="25"/>
      <c r="CC10" s="25"/>
      <c r="CD10" s="27"/>
      <c r="CE10" s="25"/>
      <c r="CF10" s="25"/>
      <c r="CG10" s="34"/>
    </row>
    <row r="11" spans="1:85">
      <c r="A11" s="23" t="s">
        <v>108</v>
      </c>
      <c r="B11" s="24" t="s">
        <v>117</v>
      </c>
      <c r="C11" s="25">
        <f t="shared" si="0"/>
        <v>0</v>
      </c>
      <c r="D11" s="25">
        <v>297</v>
      </c>
      <c r="E11" s="25" t="s">
        <v>50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>
        <v>90</v>
      </c>
      <c r="U11" s="25">
        <v>97</v>
      </c>
      <c r="V11" s="25">
        <v>110</v>
      </c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34"/>
      <c r="AI11" s="25"/>
      <c r="AJ11" s="25"/>
      <c r="AK11" s="49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63"/>
      <c r="BA11" s="25"/>
      <c r="BB11" s="25"/>
      <c r="BC11" s="27"/>
      <c r="BD11" s="27"/>
      <c r="BE11" s="27"/>
      <c r="BF11" s="27"/>
      <c r="BG11" s="27"/>
      <c r="BH11" s="27"/>
      <c r="BI11" s="27"/>
      <c r="BJ11" s="3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41"/>
    </row>
    <row r="12" spans="1:85">
      <c r="A12" s="23" t="s">
        <v>108</v>
      </c>
      <c r="B12" s="24" t="s">
        <v>118</v>
      </c>
      <c r="C12" s="25">
        <f t="shared" si="0"/>
        <v>-1400</v>
      </c>
      <c r="D12" s="25">
        <f>377+650+1400</f>
        <v>2427</v>
      </c>
      <c r="E12" s="25" t="s">
        <v>50</v>
      </c>
      <c r="F12" s="25">
        <v>203</v>
      </c>
      <c r="G12" s="25"/>
      <c r="H12" s="25"/>
      <c r="I12" s="25">
        <v>90</v>
      </c>
      <c r="J12" s="25">
        <v>55</v>
      </c>
      <c r="K12" s="25"/>
      <c r="L12" s="25"/>
      <c r="M12" s="25"/>
      <c r="N12" s="25"/>
      <c r="O12" s="25">
        <v>29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34"/>
      <c r="AI12" s="25"/>
      <c r="AJ12" s="25"/>
      <c r="AK12" s="49"/>
      <c r="AL12" s="25"/>
      <c r="AM12" s="25"/>
      <c r="AN12" s="79"/>
      <c r="AO12" s="25"/>
      <c r="AP12" s="79"/>
      <c r="AQ12" s="25"/>
      <c r="AR12" s="25"/>
      <c r="AS12" s="25"/>
      <c r="AT12" s="25"/>
      <c r="AU12" s="25"/>
      <c r="AV12" s="27"/>
      <c r="AW12" s="25">
        <v>50</v>
      </c>
      <c r="AX12" s="25">
        <v>80</v>
      </c>
      <c r="AY12" s="25">
        <v>80</v>
      </c>
      <c r="AZ12" s="34">
        <v>80</v>
      </c>
      <c r="BA12" s="25">
        <v>80</v>
      </c>
      <c r="BB12" s="25"/>
      <c r="BC12" s="25">
        <v>80</v>
      </c>
      <c r="BD12" s="25">
        <v>80</v>
      </c>
      <c r="BE12" s="23">
        <v>80</v>
      </c>
      <c r="BF12" s="23">
        <v>40</v>
      </c>
      <c r="BG12" s="27"/>
      <c r="BH12" s="27"/>
      <c r="BI12" s="27"/>
      <c r="BJ12" s="3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41"/>
    </row>
    <row r="13" spans="1:85">
      <c r="A13" s="23" t="s">
        <v>108</v>
      </c>
      <c r="B13" s="24" t="s">
        <v>41</v>
      </c>
      <c r="C13" s="25">
        <f t="shared" si="0"/>
        <v>0</v>
      </c>
      <c r="D13" s="25">
        <f>100+500</f>
        <v>600</v>
      </c>
      <c r="E13" s="25" t="s">
        <v>115</v>
      </c>
      <c r="F13" s="25">
        <v>11</v>
      </c>
      <c r="G13" s="25">
        <v>10</v>
      </c>
      <c r="H13" s="25">
        <v>18</v>
      </c>
      <c r="I13" s="25">
        <v>8</v>
      </c>
      <c r="J13" s="25"/>
      <c r="K13" s="25"/>
      <c r="L13" s="25"/>
      <c r="M13" s="23"/>
      <c r="N13" s="25"/>
      <c r="O13" s="25">
        <v>15</v>
      </c>
      <c r="P13" s="25">
        <v>25</v>
      </c>
      <c r="Q13" s="25">
        <v>30</v>
      </c>
      <c r="R13" s="25">
        <v>30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>
        <v>50</v>
      </c>
      <c r="AF13" s="25">
        <v>53</v>
      </c>
      <c r="AG13" s="25"/>
      <c r="AH13" s="34"/>
      <c r="AI13" s="25">
        <v>50</v>
      </c>
      <c r="AJ13" s="25">
        <v>50</v>
      </c>
      <c r="AK13" s="49">
        <v>50</v>
      </c>
      <c r="AL13" s="25">
        <v>50</v>
      </c>
      <c r="AM13" s="25">
        <v>50</v>
      </c>
      <c r="AN13" s="27"/>
      <c r="AO13" s="25"/>
      <c r="AP13" s="27"/>
      <c r="AQ13" s="25"/>
      <c r="AR13" s="25">
        <v>100</v>
      </c>
      <c r="AS13" s="25"/>
      <c r="AT13" s="25"/>
      <c r="AU13" s="25"/>
      <c r="AV13" s="25"/>
      <c r="AW13" s="25"/>
      <c r="AX13" s="25"/>
      <c r="AY13" s="25"/>
      <c r="AZ13" s="34"/>
      <c r="BA13" s="25"/>
      <c r="BB13" s="25"/>
      <c r="BC13" s="27"/>
      <c r="BD13" s="27"/>
      <c r="BE13" s="27"/>
      <c r="BF13" s="27"/>
      <c r="BG13" s="27"/>
      <c r="BH13" s="27"/>
      <c r="BI13" s="27"/>
      <c r="BJ13" s="3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41"/>
    </row>
    <row r="14" spans="1:85">
      <c r="A14" s="23" t="s">
        <v>108</v>
      </c>
      <c r="B14" s="24" t="s">
        <v>119</v>
      </c>
      <c r="C14" s="25">
        <f t="shared" si="0"/>
        <v>0</v>
      </c>
      <c r="D14" s="25">
        <v>600</v>
      </c>
      <c r="E14" s="25" t="s">
        <v>115</v>
      </c>
      <c r="F14" s="25">
        <v>16</v>
      </c>
      <c r="G14" s="25">
        <v>10</v>
      </c>
      <c r="H14" s="25">
        <v>21</v>
      </c>
      <c r="I14" s="25">
        <v>11</v>
      </c>
      <c r="J14" s="25"/>
      <c r="K14" s="25"/>
      <c r="L14" s="25"/>
      <c r="M14" s="23"/>
      <c r="N14" s="25"/>
      <c r="O14" s="25"/>
      <c r="P14" s="25"/>
      <c r="Q14" s="25">
        <v>22</v>
      </c>
      <c r="R14" s="25">
        <v>20</v>
      </c>
      <c r="S14" s="25"/>
      <c r="T14" s="25"/>
      <c r="U14" s="25"/>
      <c r="V14" s="25"/>
      <c r="W14" s="25"/>
      <c r="X14" s="25"/>
      <c r="Y14" s="25"/>
      <c r="Z14" s="25"/>
      <c r="AA14" s="25"/>
      <c r="AB14" s="25">
        <v>100</v>
      </c>
      <c r="AC14" s="25">
        <v>100</v>
      </c>
      <c r="AD14" s="25">
        <v>100</v>
      </c>
      <c r="AE14" s="25">
        <v>100</v>
      </c>
      <c r="AF14" s="25">
        <v>100</v>
      </c>
      <c r="AG14" s="25"/>
      <c r="AH14" s="34"/>
      <c r="AI14" s="25"/>
      <c r="AJ14" s="25"/>
      <c r="AK14" s="49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62"/>
      <c r="BB14" s="63"/>
      <c r="BC14" s="38"/>
      <c r="BD14" s="38"/>
      <c r="BE14" s="38"/>
      <c r="BF14" s="38"/>
      <c r="BG14" s="38"/>
      <c r="BH14" s="38"/>
      <c r="BI14" s="38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41"/>
    </row>
    <row r="15" spans="1:85">
      <c r="A15" s="23" t="s">
        <v>108</v>
      </c>
      <c r="B15" s="24" t="s">
        <v>44</v>
      </c>
      <c r="C15" s="25">
        <f t="shared" si="0"/>
        <v>0</v>
      </c>
      <c r="D15" s="25">
        <v>600</v>
      </c>
      <c r="E15" s="25" t="s">
        <v>115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34"/>
      <c r="AI15" s="25">
        <v>50</v>
      </c>
      <c r="AJ15" s="25">
        <v>50</v>
      </c>
      <c r="AK15" s="49">
        <v>50</v>
      </c>
      <c r="AL15" s="25">
        <v>50</v>
      </c>
      <c r="AM15" s="25">
        <v>50</v>
      </c>
      <c r="AN15" s="25">
        <v>100</v>
      </c>
      <c r="AO15" s="25">
        <v>100</v>
      </c>
      <c r="AP15" s="25">
        <v>100</v>
      </c>
      <c r="AQ15" s="25">
        <v>50</v>
      </c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34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41"/>
    </row>
    <row r="16" spans="1:85">
      <c r="A16" s="23" t="s">
        <v>108</v>
      </c>
      <c r="B16" s="24" t="s">
        <v>120</v>
      </c>
      <c r="C16" s="25">
        <f t="shared" si="0"/>
        <v>0</v>
      </c>
      <c r="D16" s="25">
        <v>600</v>
      </c>
      <c r="E16" s="25" t="s">
        <v>115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>
        <v>100</v>
      </c>
      <c r="AF16" s="25">
        <v>100</v>
      </c>
      <c r="AG16" s="50"/>
      <c r="AH16" s="61">
        <v>100</v>
      </c>
      <c r="AI16" s="25">
        <v>100</v>
      </c>
      <c r="AJ16" s="25">
        <v>100</v>
      </c>
      <c r="AK16" s="70">
        <v>100</v>
      </c>
      <c r="AL16" s="50"/>
      <c r="AM16" s="50"/>
      <c r="AN16" s="50"/>
      <c r="AO16" s="50"/>
      <c r="AP16" s="50"/>
      <c r="AQ16" s="50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34"/>
      <c r="BC16" s="27"/>
      <c r="BD16" s="27"/>
      <c r="BE16" s="27"/>
      <c r="BF16" s="27"/>
      <c r="BG16" s="23"/>
      <c r="BH16" s="23"/>
      <c r="BI16" s="23"/>
      <c r="BJ16" s="23"/>
      <c r="BK16" s="23"/>
      <c r="BL16" s="23"/>
      <c r="BM16" s="23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41"/>
    </row>
    <row r="17" spans="1:85">
      <c r="A17" s="23" t="s">
        <v>108</v>
      </c>
      <c r="B17" s="24" t="s">
        <v>47</v>
      </c>
      <c r="C17" s="25">
        <f t="shared" si="0"/>
        <v>-324</v>
      </c>
      <c r="D17" s="25">
        <f>320+324</f>
        <v>644</v>
      </c>
      <c r="E17" s="25" t="s">
        <v>115</v>
      </c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34"/>
      <c r="AG17" s="25"/>
      <c r="AH17" s="34"/>
      <c r="AI17" s="25"/>
      <c r="AJ17" s="25"/>
      <c r="AK17" s="49"/>
      <c r="AL17" s="25"/>
      <c r="AM17" s="25"/>
      <c r="AN17" s="25"/>
      <c r="AO17" s="25"/>
      <c r="AP17" s="25"/>
      <c r="AQ17" s="25"/>
      <c r="AR17" s="49"/>
      <c r="AS17" s="25"/>
      <c r="AT17" s="25"/>
      <c r="AU17" s="25"/>
      <c r="AV17" s="25"/>
      <c r="AW17" s="25"/>
      <c r="AX17" s="25"/>
      <c r="AY17" s="25"/>
      <c r="AZ17" s="25"/>
      <c r="BA17" s="25"/>
      <c r="BB17" s="34"/>
      <c r="BC17" s="27"/>
      <c r="BD17" s="27"/>
      <c r="BE17" s="27"/>
      <c r="BF17" s="27"/>
      <c r="BG17" s="27"/>
      <c r="BH17" s="27"/>
      <c r="BI17" s="27"/>
      <c r="BJ17" s="23">
        <v>60</v>
      </c>
      <c r="BK17" s="23">
        <v>60</v>
      </c>
      <c r="BL17" s="23">
        <v>60</v>
      </c>
      <c r="BM17" s="23">
        <v>60</v>
      </c>
      <c r="BN17" s="23">
        <v>60</v>
      </c>
      <c r="BO17" s="23">
        <v>20</v>
      </c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41"/>
    </row>
    <row r="18" spans="1:85">
      <c r="A18" s="23" t="s">
        <v>108</v>
      </c>
      <c r="B18" s="24" t="s">
        <v>29</v>
      </c>
      <c r="C18" s="25">
        <f t="shared" si="0"/>
        <v>0</v>
      </c>
      <c r="D18" s="25">
        <v>0</v>
      </c>
      <c r="E18" s="25" t="s">
        <v>50</v>
      </c>
      <c r="F18" s="25"/>
      <c r="G18" s="25"/>
      <c r="H18" s="27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34"/>
      <c r="AG18" s="25"/>
      <c r="AH18" s="34"/>
      <c r="AI18" s="25"/>
      <c r="AJ18" s="25"/>
      <c r="AK18" s="49"/>
      <c r="AL18" s="25"/>
      <c r="AM18" s="25"/>
      <c r="AN18" s="25"/>
      <c r="AO18" s="25"/>
      <c r="AP18" s="25"/>
      <c r="AQ18" s="25"/>
      <c r="AR18" s="49"/>
      <c r="AS18" s="25"/>
      <c r="AT18" s="25"/>
      <c r="AU18" s="25"/>
      <c r="AV18" s="25"/>
      <c r="AW18" s="25"/>
      <c r="AX18" s="25"/>
      <c r="AY18" s="25"/>
      <c r="AZ18" s="25"/>
      <c r="BA18" s="25"/>
      <c r="BB18" s="34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41"/>
    </row>
    <row r="19" spans="1:85">
      <c r="A19" s="23" t="s">
        <v>108</v>
      </c>
      <c r="B19" s="24" t="s">
        <v>22</v>
      </c>
      <c r="C19" s="25">
        <f t="shared" si="0"/>
        <v>0</v>
      </c>
      <c r="D19" s="25">
        <v>150</v>
      </c>
      <c r="E19" s="25" t="s">
        <v>50</v>
      </c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34"/>
      <c r="AG19" s="25"/>
      <c r="AH19" s="34"/>
      <c r="AI19" s="25"/>
      <c r="AJ19" s="25"/>
      <c r="AK19" s="49"/>
      <c r="AL19" s="25"/>
      <c r="AM19" s="25"/>
      <c r="AN19" s="25"/>
      <c r="AO19" s="25">
        <v>10</v>
      </c>
      <c r="AP19" s="25">
        <v>20</v>
      </c>
      <c r="AQ19" s="25">
        <v>30</v>
      </c>
      <c r="AR19" s="49">
        <v>30</v>
      </c>
      <c r="AS19" s="25">
        <v>30</v>
      </c>
      <c r="AT19" s="25">
        <v>30</v>
      </c>
      <c r="AU19" s="25"/>
      <c r="AV19" s="25"/>
      <c r="AW19" s="25"/>
      <c r="AX19" s="25"/>
      <c r="AY19" s="25"/>
      <c r="AZ19" s="25"/>
      <c r="BA19" s="25"/>
      <c r="BB19" s="34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41"/>
    </row>
    <row r="20" spans="1:85">
      <c r="A20" s="23" t="s">
        <v>108</v>
      </c>
      <c r="B20" s="24" t="s">
        <v>121</v>
      </c>
      <c r="C20" s="25">
        <f t="shared" si="0"/>
        <v>0</v>
      </c>
      <c r="D20" s="25">
        <v>290</v>
      </c>
      <c r="E20" s="25" t="s">
        <v>50</v>
      </c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34"/>
      <c r="AG20" s="25"/>
      <c r="AH20" s="34">
        <v>10</v>
      </c>
      <c r="AI20" s="25">
        <v>40</v>
      </c>
      <c r="AJ20" s="25">
        <v>40</v>
      </c>
      <c r="AK20" s="49">
        <v>40</v>
      </c>
      <c r="AL20" s="25">
        <v>40</v>
      </c>
      <c r="AM20" s="25">
        <v>40</v>
      </c>
      <c r="AN20" s="25"/>
      <c r="AO20" s="25">
        <v>40</v>
      </c>
      <c r="AP20" s="25">
        <v>40</v>
      </c>
      <c r="AQ20" s="25"/>
      <c r="AR20" s="49"/>
      <c r="AS20" s="25"/>
      <c r="AT20" s="25"/>
      <c r="AU20" s="25"/>
      <c r="AV20" s="25"/>
      <c r="AW20" s="25"/>
      <c r="AX20" s="25"/>
      <c r="AY20" s="25"/>
      <c r="AZ20" s="25"/>
      <c r="BA20" s="25"/>
      <c r="BB20" s="34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41"/>
    </row>
    <row r="21" spans="1:85">
      <c r="A21" s="28" t="s">
        <v>122</v>
      </c>
      <c r="B21" s="29" t="s">
        <v>84</v>
      </c>
      <c r="C21" s="29"/>
      <c r="D21" s="30">
        <v>600</v>
      </c>
      <c r="E21" s="30" t="s">
        <v>115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1"/>
      <c r="U21" s="30"/>
      <c r="V21" s="30"/>
      <c r="W21" s="30"/>
      <c r="X21" s="30"/>
      <c r="Y21" s="30"/>
      <c r="Z21" s="30"/>
      <c r="AA21" s="31">
        <v>20</v>
      </c>
      <c r="AB21" s="31"/>
      <c r="AC21" s="31">
        <v>100</v>
      </c>
      <c r="AD21" s="31">
        <v>100</v>
      </c>
      <c r="AE21" s="31">
        <v>80</v>
      </c>
      <c r="AF21" s="30"/>
      <c r="AG21" s="51"/>
      <c r="AH21" s="76">
        <v>40</v>
      </c>
      <c r="AI21" s="30">
        <v>50</v>
      </c>
      <c r="AJ21" s="30"/>
      <c r="AK21" s="77"/>
      <c r="AL21" s="30"/>
      <c r="AM21" s="30"/>
      <c r="AN21" s="51"/>
      <c r="AO21" s="51">
        <v>100</v>
      </c>
      <c r="AP21" s="51"/>
      <c r="AQ21" s="51"/>
      <c r="AR21" s="51"/>
      <c r="AS21" s="51"/>
      <c r="AT21" s="51"/>
      <c r="AU21" s="30"/>
      <c r="AV21" s="30"/>
      <c r="AW21" s="30"/>
      <c r="AX21" s="30"/>
      <c r="AY21" s="30"/>
      <c r="AZ21" s="30"/>
      <c r="BA21" s="30"/>
      <c r="BB21" s="35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119"/>
      <c r="BR21" s="119"/>
      <c r="BS21" s="119"/>
      <c r="BT21" s="119"/>
      <c r="BU21" s="119"/>
      <c r="BV21" s="119"/>
      <c r="BW21" s="32"/>
      <c r="BX21" s="28"/>
      <c r="BY21" s="28"/>
      <c r="BZ21" s="28"/>
      <c r="CA21" s="28"/>
      <c r="CB21" s="28"/>
      <c r="CC21" s="28"/>
      <c r="CD21" s="28"/>
      <c r="CE21" s="28"/>
      <c r="CF21" s="28"/>
      <c r="CG21" s="145"/>
    </row>
    <row r="22" spans="1:85">
      <c r="A22" s="28" t="s">
        <v>122</v>
      </c>
      <c r="B22" s="29" t="s">
        <v>34</v>
      </c>
      <c r="C22" s="29"/>
      <c r="D22" s="30">
        <v>600</v>
      </c>
      <c r="E22" s="30" t="s">
        <v>115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1"/>
      <c r="U22" s="30"/>
      <c r="V22" s="30"/>
      <c r="W22" s="30"/>
      <c r="X22" s="30"/>
      <c r="Y22" s="30"/>
      <c r="Z22" s="30"/>
      <c r="AA22" s="31">
        <v>20</v>
      </c>
      <c r="AB22" s="31"/>
      <c r="AC22" s="31">
        <v>100</v>
      </c>
      <c r="AD22" s="31">
        <v>100</v>
      </c>
      <c r="AE22" s="31">
        <v>80</v>
      </c>
      <c r="AF22" s="30"/>
      <c r="AG22" s="30"/>
      <c r="AH22" s="35">
        <v>60</v>
      </c>
      <c r="AI22" s="30">
        <v>50</v>
      </c>
      <c r="AJ22" s="30"/>
      <c r="AK22" s="77"/>
      <c r="AL22" s="30"/>
      <c r="AM22" s="30"/>
      <c r="AN22" s="30"/>
      <c r="AO22" s="51">
        <v>96</v>
      </c>
      <c r="AP22" s="51"/>
      <c r="AQ22" s="51"/>
      <c r="AR22" s="51"/>
      <c r="AS22" s="51"/>
      <c r="AT22" s="51"/>
      <c r="AU22" s="30"/>
      <c r="AV22" s="30"/>
      <c r="AW22" s="30"/>
      <c r="AX22" s="30"/>
      <c r="AY22" s="30"/>
      <c r="AZ22" s="30"/>
      <c r="BA22" s="30"/>
      <c r="BB22" s="35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119"/>
      <c r="BR22" s="119"/>
      <c r="BS22" s="119"/>
      <c r="BT22" s="119"/>
      <c r="BU22" s="119"/>
      <c r="BV22" s="119"/>
      <c r="BW22" s="32"/>
      <c r="BX22" s="28"/>
      <c r="BY22" s="28"/>
      <c r="BZ22" s="28"/>
      <c r="CA22" s="28"/>
      <c r="CB22" s="28"/>
      <c r="CC22" s="28"/>
      <c r="CD22" s="28"/>
      <c r="CE22" s="28"/>
      <c r="CF22" s="28"/>
      <c r="CG22" s="145"/>
    </row>
    <row r="23" spans="1:85">
      <c r="A23" s="28" t="s">
        <v>122</v>
      </c>
      <c r="B23" s="29" t="s">
        <v>36</v>
      </c>
      <c r="C23" s="29"/>
      <c r="D23" s="30">
        <v>600</v>
      </c>
      <c r="E23" s="30" t="s">
        <v>115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28"/>
      <c r="V23" s="30"/>
      <c r="W23" s="30"/>
      <c r="X23" s="30"/>
      <c r="Y23" s="30"/>
      <c r="Z23" s="30"/>
      <c r="AA23" s="30"/>
      <c r="AB23" s="30"/>
      <c r="AC23" s="30">
        <f>113+20</f>
        <v>133</v>
      </c>
      <c r="AD23" s="30"/>
      <c r="AE23" s="31">
        <v>27</v>
      </c>
      <c r="AF23" s="31">
        <v>50</v>
      </c>
      <c r="AG23" s="30"/>
      <c r="AH23" s="35">
        <v>72</v>
      </c>
      <c r="AI23" s="30"/>
      <c r="AJ23" s="30"/>
      <c r="AK23" s="77"/>
      <c r="AL23" s="30"/>
      <c r="AM23" s="30"/>
      <c r="AN23" s="30"/>
      <c r="AO23" s="51"/>
      <c r="AP23" s="51"/>
      <c r="AQ23" s="51"/>
      <c r="AR23" s="51"/>
      <c r="AS23" s="51"/>
      <c r="AT23" s="51"/>
      <c r="AU23" s="30"/>
      <c r="AV23" s="30"/>
      <c r="AW23" s="30"/>
      <c r="AX23" s="30">
        <v>46</v>
      </c>
      <c r="AY23" s="30"/>
      <c r="AZ23" s="30">
        <v>90</v>
      </c>
      <c r="BA23" s="30"/>
      <c r="BB23" s="35"/>
      <c r="BC23" s="28">
        <v>60</v>
      </c>
      <c r="BD23" s="28">
        <f>24*4</f>
        <v>96</v>
      </c>
      <c r="BE23" s="28">
        <f>24*4</f>
        <v>96</v>
      </c>
      <c r="BF23" s="32"/>
      <c r="BG23" s="28">
        <v>9</v>
      </c>
      <c r="BH23" s="32"/>
      <c r="BI23" s="32"/>
      <c r="BJ23" s="28">
        <v>30</v>
      </c>
      <c r="BK23" s="28">
        <v>60</v>
      </c>
      <c r="BL23" s="28">
        <v>65</v>
      </c>
      <c r="BM23" s="28"/>
      <c r="BN23" s="28"/>
      <c r="BO23" s="28"/>
      <c r="BP23" s="28"/>
      <c r="BQ23" s="119"/>
      <c r="BR23" s="119"/>
      <c r="BS23" s="119"/>
      <c r="BT23" s="119">
        <v>15</v>
      </c>
      <c r="BU23" s="119"/>
      <c r="BV23" s="119"/>
      <c r="BW23" s="32"/>
      <c r="BX23" s="28"/>
      <c r="BY23" s="28"/>
      <c r="BZ23" s="28"/>
      <c r="CA23" s="28"/>
      <c r="CB23" s="28"/>
      <c r="CC23" s="28"/>
      <c r="CD23" s="28"/>
      <c r="CE23" s="28"/>
      <c r="CF23" s="28"/>
      <c r="CG23" s="145"/>
    </row>
    <row r="24" spans="1:85">
      <c r="A24" s="28" t="s">
        <v>122</v>
      </c>
      <c r="B24" s="29" t="s">
        <v>37</v>
      </c>
      <c r="C24" s="29"/>
      <c r="D24" s="30">
        <v>550</v>
      </c>
      <c r="E24" s="30" t="s">
        <v>115</v>
      </c>
      <c r="F24" s="30"/>
      <c r="G24" s="30"/>
      <c r="H24" s="30"/>
      <c r="I24" s="30"/>
      <c r="J24" s="30"/>
      <c r="K24" s="30"/>
      <c r="L24" s="30"/>
      <c r="M24" s="30"/>
      <c r="N24" s="30"/>
      <c r="O24" s="31"/>
      <c r="P24" s="30"/>
      <c r="Q24" s="30"/>
      <c r="R24" s="30"/>
      <c r="S24" s="30"/>
      <c r="T24" s="30"/>
      <c r="U24" s="30"/>
      <c r="V24" s="30">
        <v>55</v>
      </c>
      <c r="W24" s="30">
        <v>55</v>
      </c>
      <c r="X24" s="30">
        <v>90</v>
      </c>
      <c r="Y24" s="30"/>
      <c r="Z24" s="30"/>
      <c r="AA24" s="30"/>
      <c r="AB24" s="30"/>
      <c r="AC24" s="30"/>
      <c r="AD24" s="30"/>
      <c r="AE24" s="30"/>
      <c r="AF24" s="30"/>
      <c r="AG24" s="30"/>
      <c r="AH24" s="35">
        <v>30</v>
      </c>
      <c r="AI24" s="30">
        <v>70</v>
      </c>
      <c r="AJ24" s="30"/>
      <c r="AK24" s="77"/>
      <c r="AL24" s="30"/>
      <c r="AM24" s="30">
        <v>70</v>
      </c>
      <c r="AN24" s="30"/>
      <c r="AO24" s="51"/>
      <c r="AP24" s="51"/>
      <c r="AQ24" s="51"/>
      <c r="AR24" s="51">
        <v>70</v>
      </c>
      <c r="AS24" s="51"/>
      <c r="AT24" s="51"/>
      <c r="AU24" s="30"/>
      <c r="AV24" s="30"/>
      <c r="AW24" s="30">
        <v>70</v>
      </c>
      <c r="AX24" s="30"/>
      <c r="AY24" s="30">
        <v>98</v>
      </c>
      <c r="AZ24" s="30"/>
      <c r="BA24" s="30"/>
      <c r="BB24" s="35"/>
      <c r="BC24" s="32"/>
      <c r="BD24" s="32"/>
      <c r="BE24" s="32"/>
      <c r="BF24" s="28"/>
      <c r="BG24" s="28">
        <v>64</v>
      </c>
      <c r="BH24" s="28">
        <v>36</v>
      </c>
      <c r="BI24" s="32"/>
      <c r="BJ24" s="28"/>
      <c r="BK24" s="28"/>
      <c r="BL24" s="28"/>
      <c r="BM24" s="28">
        <v>64</v>
      </c>
      <c r="BN24" s="28">
        <v>36</v>
      </c>
      <c r="BO24" s="28"/>
      <c r="BP24" s="28"/>
      <c r="BQ24" s="119">
        <v>10</v>
      </c>
      <c r="BR24" s="119">
        <v>70</v>
      </c>
      <c r="BS24" s="119">
        <v>71</v>
      </c>
      <c r="BT24" s="119">
        <v>20</v>
      </c>
      <c r="BU24" s="119"/>
      <c r="BV24" s="119"/>
      <c r="BW24" s="32"/>
      <c r="BX24" s="28"/>
      <c r="BY24" s="28"/>
      <c r="BZ24" s="28"/>
      <c r="CA24" s="28"/>
      <c r="CB24" s="28"/>
      <c r="CC24" s="28"/>
      <c r="CD24" s="28"/>
      <c r="CE24" s="28"/>
      <c r="CF24" s="28"/>
      <c r="CG24" s="145"/>
    </row>
    <row r="25" spans="1:85">
      <c r="A25" s="28" t="s">
        <v>122</v>
      </c>
      <c r="B25" s="29" t="s">
        <v>72</v>
      </c>
      <c r="C25" s="29"/>
      <c r="D25" s="30">
        <f>300+200+500</f>
        <v>1000</v>
      </c>
      <c r="E25" s="30" t="s">
        <v>50</v>
      </c>
      <c r="F25" s="30">
        <f>24+20</f>
        <v>44</v>
      </c>
      <c r="G25" s="30">
        <v>22</v>
      </c>
      <c r="H25" s="30">
        <v>52</v>
      </c>
      <c r="I25" s="32"/>
      <c r="J25" s="32"/>
      <c r="K25" s="30"/>
      <c r="L25" s="30"/>
      <c r="M25" s="30">
        <v>50</v>
      </c>
      <c r="N25" s="31">
        <v>55</v>
      </c>
      <c r="O25" s="31">
        <v>0</v>
      </c>
      <c r="P25" s="31">
        <v>0</v>
      </c>
      <c r="Q25" s="31">
        <v>0</v>
      </c>
      <c r="R25" s="31">
        <v>0</v>
      </c>
      <c r="S25" s="30"/>
      <c r="T25" s="30">
        <v>42</v>
      </c>
      <c r="U25" s="32"/>
      <c r="V25" s="32"/>
      <c r="W25" s="30"/>
      <c r="X25" s="30">
        <v>75</v>
      </c>
      <c r="Y25" s="30">
        <v>75</v>
      </c>
      <c r="Z25" s="30"/>
      <c r="AA25" s="31">
        <v>75</v>
      </c>
      <c r="AB25" s="31">
        <v>75</v>
      </c>
      <c r="AC25" s="31">
        <v>75</v>
      </c>
      <c r="AD25" s="31">
        <v>75</v>
      </c>
      <c r="AE25" s="31">
        <v>25</v>
      </c>
      <c r="AF25" s="31">
        <v>25</v>
      </c>
      <c r="AG25" s="30"/>
      <c r="AH25" s="35"/>
      <c r="AI25" s="30"/>
      <c r="AJ25" s="31">
        <v>75</v>
      </c>
      <c r="AK25" s="88">
        <v>75</v>
      </c>
      <c r="AL25" s="31">
        <v>75</v>
      </c>
      <c r="AM25" s="31">
        <v>75</v>
      </c>
      <c r="AN25" s="30"/>
      <c r="AO25" s="51"/>
      <c r="AP25" s="51">
        <v>60</v>
      </c>
      <c r="AQ25" s="51">
        <v>60</v>
      </c>
      <c r="AR25" s="51">
        <v>60</v>
      </c>
      <c r="AS25" s="51">
        <v>60</v>
      </c>
      <c r="AT25" s="51">
        <v>60</v>
      </c>
      <c r="AU25" s="30"/>
      <c r="AV25" s="30">
        <v>120</v>
      </c>
      <c r="AW25" s="30">
        <v>7</v>
      </c>
      <c r="AX25" s="30"/>
      <c r="AY25" s="30"/>
      <c r="AZ25" s="30"/>
      <c r="BA25" s="30"/>
      <c r="BB25" s="35"/>
      <c r="BC25" s="32"/>
      <c r="BD25" s="32"/>
      <c r="BE25" s="32"/>
      <c r="BF25" s="32"/>
      <c r="BG25" s="32"/>
      <c r="BH25" s="32"/>
      <c r="BI25" s="32"/>
      <c r="BJ25" s="28"/>
      <c r="BK25" s="28"/>
      <c r="BL25" s="28"/>
      <c r="BM25" s="28"/>
      <c r="BN25" s="28"/>
      <c r="BO25" s="28"/>
      <c r="BP25" s="28"/>
      <c r="BQ25" s="119"/>
      <c r="BR25" s="119"/>
      <c r="BS25" s="119"/>
      <c r="BT25" s="119"/>
      <c r="BU25" s="119"/>
      <c r="BV25" s="119"/>
      <c r="BW25" s="32"/>
      <c r="BX25" s="28"/>
      <c r="BY25" s="28"/>
      <c r="BZ25" s="28"/>
      <c r="CA25" s="28"/>
      <c r="CB25" s="28"/>
      <c r="CC25" s="28"/>
      <c r="CD25" s="28"/>
      <c r="CE25" s="28"/>
      <c r="CF25" s="28"/>
      <c r="CG25" s="145"/>
    </row>
    <row r="26" spans="1:85">
      <c r="A26" s="28" t="s">
        <v>122</v>
      </c>
      <c r="B26" s="29" t="s">
        <v>61</v>
      </c>
      <c r="C26" s="29"/>
      <c r="D26" s="30">
        <f>300+200+500</f>
        <v>1000</v>
      </c>
      <c r="E26" s="30" t="s">
        <v>50</v>
      </c>
      <c r="F26" s="30">
        <v>30</v>
      </c>
      <c r="G26" s="30">
        <v>30</v>
      </c>
      <c r="H26" s="30">
        <v>42</v>
      </c>
      <c r="I26" s="30"/>
      <c r="J26" s="30"/>
      <c r="K26" s="30"/>
      <c r="L26" s="30"/>
      <c r="M26" s="30">
        <v>45</v>
      </c>
      <c r="N26" s="31">
        <v>43</v>
      </c>
      <c r="O26" s="30"/>
      <c r="P26" s="30"/>
      <c r="Q26" s="30"/>
      <c r="R26" s="30"/>
      <c r="S26" s="30"/>
      <c r="T26" s="30">
        <v>29</v>
      </c>
      <c r="U26" s="30"/>
      <c r="V26" s="30"/>
      <c r="W26" s="30"/>
      <c r="X26" s="30">
        <v>75</v>
      </c>
      <c r="Y26" s="30">
        <v>75</v>
      </c>
      <c r="Z26" s="30"/>
      <c r="AA26" s="31">
        <v>75</v>
      </c>
      <c r="AB26" s="31">
        <v>75</v>
      </c>
      <c r="AC26" s="31">
        <v>75</v>
      </c>
      <c r="AD26" s="31">
        <v>75</v>
      </c>
      <c r="AE26" s="31">
        <v>25</v>
      </c>
      <c r="AF26" s="31">
        <v>25</v>
      </c>
      <c r="AG26" s="30"/>
      <c r="AH26" s="35">
        <v>50</v>
      </c>
      <c r="AI26" s="30">
        <v>50</v>
      </c>
      <c r="AJ26" s="31">
        <v>75</v>
      </c>
      <c r="AK26" s="88">
        <v>75</v>
      </c>
      <c r="AL26" s="31">
        <v>75</v>
      </c>
      <c r="AM26" s="31">
        <v>75</v>
      </c>
      <c r="AN26" s="30"/>
      <c r="AO26" s="51"/>
      <c r="AP26" s="51">
        <v>60</v>
      </c>
      <c r="AQ26" s="51">
        <v>60</v>
      </c>
      <c r="AR26" s="51">
        <v>60</v>
      </c>
      <c r="AS26" s="51">
        <v>60</v>
      </c>
      <c r="AT26" s="51">
        <v>60</v>
      </c>
      <c r="AU26" s="30"/>
      <c r="AV26" s="30"/>
      <c r="AW26" s="30">
        <v>28</v>
      </c>
      <c r="AX26" s="30"/>
      <c r="AY26" s="30"/>
      <c r="AZ26" s="30"/>
      <c r="BA26" s="30"/>
      <c r="BB26" s="35"/>
      <c r="BC26" s="32"/>
      <c r="BD26" s="32"/>
      <c r="BE26" s="32"/>
      <c r="BF26" s="32"/>
      <c r="BG26" s="32"/>
      <c r="BH26" s="32"/>
      <c r="BI26" s="32"/>
      <c r="BJ26" s="28"/>
      <c r="BK26" s="28"/>
      <c r="BL26" s="28"/>
      <c r="BM26" s="28"/>
      <c r="BN26" s="28"/>
      <c r="BO26" s="28"/>
      <c r="BP26" s="28"/>
      <c r="BQ26" s="119"/>
      <c r="BR26" s="119"/>
      <c r="BS26" s="119"/>
      <c r="BT26" s="119"/>
      <c r="BU26" s="119"/>
      <c r="BV26" s="119"/>
      <c r="BW26" s="32"/>
      <c r="BX26" s="28"/>
      <c r="BY26" s="28"/>
      <c r="BZ26" s="28"/>
      <c r="CA26" s="28"/>
      <c r="CB26" s="28"/>
      <c r="CC26" s="28"/>
      <c r="CD26" s="28"/>
      <c r="CE26" s="28"/>
      <c r="CF26" s="28"/>
      <c r="CG26" s="145"/>
    </row>
    <row r="27" spans="1:85">
      <c r="A27" s="28" t="s">
        <v>122</v>
      </c>
      <c r="B27" s="29" t="s">
        <v>116</v>
      </c>
      <c r="C27" s="29"/>
      <c r="D27" s="30">
        <f>400+2100</f>
        <v>2500</v>
      </c>
      <c r="E27" s="30" t="s">
        <v>115</v>
      </c>
      <c r="F27" s="32"/>
      <c r="G27" s="32"/>
      <c r="H27" s="32"/>
      <c r="I27" s="32"/>
      <c r="J27" s="32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>
        <v>40</v>
      </c>
      <c r="W27" s="30">
        <v>40</v>
      </c>
      <c r="X27" s="30"/>
      <c r="Y27" s="30">
        <v>80</v>
      </c>
      <c r="Z27" s="30"/>
      <c r="AA27" s="30"/>
      <c r="AB27" s="30"/>
      <c r="AC27" s="31">
        <v>100</v>
      </c>
      <c r="AD27" s="31">
        <v>100</v>
      </c>
      <c r="AE27" s="31">
        <v>100</v>
      </c>
      <c r="AF27" s="31">
        <v>100</v>
      </c>
      <c r="AG27" s="30"/>
      <c r="AH27" s="35">
        <v>75</v>
      </c>
      <c r="AI27" s="30">
        <v>75</v>
      </c>
      <c r="AJ27" s="30">
        <v>75</v>
      </c>
      <c r="AK27" s="88">
        <v>75</v>
      </c>
      <c r="AL27" s="31">
        <v>75</v>
      </c>
      <c r="AM27" s="31">
        <v>75</v>
      </c>
      <c r="AN27" s="30"/>
      <c r="AO27" s="51">
        <v>75</v>
      </c>
      <c r="AP27" s="51">
        <v>75</v>
      </c>
      <c r="AQ27" s="51">
        <v>75</v>
      </c>
      <c r="AR27" s="51">
        <v>75</v>
      </c>
      <c r="AS27" s="51">
        <v>75</v>
      </c>
      <c r="AT27" s="51">
        <v>75</v>
      </c>
      <c r="AU27" s="30"/>
      <c r="AV27" s="30">
        <v>100</v>
      </c>
      <c r="AW27" s="30">
        <v>120</v>
      </c>
      <c r="AX27" s="30">
        <v>60</v>
      </c>
      <c r="AY27" s="30">
        <v>120</v>
      </c>
      <c r="AZ27" s="30">
        <v>120</v>
      </c>
      <c r="BA27" s="30">
        <v>120</v>
      </c>
      <c r="BB27" s="35"/>
      <c r="BC27" s="32"/>
      <c r="BD27" s="32"/>
      <c r="BE27" s="32"/>
      <c r="BF27" s="32"/>
      <c r="BG27" s="32"/>
      <c r="BH27" s="32"/>
      <c r="BI27" s="32"/>
      <c r="BJ27" s="28">
        <v>80</v>
      </c>
      <c r="BK27" s="28">
        <v>80</v>
      </c>
      <c r="BL27" s="28">
        <v>80</v>
      </c>
      <c r="BM27" s="28">
        <v>80</v>
      </c>
      <c r="BN27" s="28">
        <v>80</v>
      </c>
      <c r="BO27" s="28">
        <v>80</v>
      </c>
      <c r="BP27" s="28"/>
      <c r="BQ27" s="119">
        <v>80</v>
      </c>
      <c r="BR27" s="119">
        <v>80</v>
      </c>
      <c r="BS27" s="119">
        <v>80</v>
      </c>
      <c r="BT27" s="119"/>
      <c r="BU27" s="119"/>
      <c r="BV27" s="119"/>
      <c r="BW27" s="28"/>
      <c r="BX27" s="119"/>
      <c r="BY27" s="119"/>
      <c r="BZ27" s="119"/>
      <c r="CA27" s="119"/>
      <c r="CB27" s="119">
        <v>80</v>
      </c>
      <c r="CC27" s="119">
        <v>80</v>
      </c>
      <c r="CD27" s="119">
        <v>80</v>
      </c>
      <c r="CE27" s="119">
        <v>69</v>
      </c>
      <c r="CF27" s="119"/>
      <c r="CG27" s="145"/>
    </row>
    <row r="28" spans="1:85">
      <c r="A28" s="28" t="s">
        <v>122</v>
      </c>
      <c r="B28" s="29" t="s">
        <v>49</v>
      </c>
      <c r="C28" s="29"/>
      <c r="D28" s="30">
        <f>420+800+800</f>
        <v>2020</v>
      </c>
      <c r="E28" s="30" t="s">
        <v>50</v>
      </c>
      <c r="F28" s="30"/>
      <c r="G28" s="30"/>
      <c r="H28" s="30"/>
      <c r="I28" s="30"/>
      <c r="J28" s="30">
        <v>33</v>
      </c>
      <c r="K28" s="30">
        <v>84</v>
      </c>
      <c r="L28" s="30"/>
      <c r="M28" s="30"/>
      <c r="N28" s="30"/>
      <c r="O28" s="31">
        <v>92</v>
      </c>
      <c r="P28" s="31">
        <v>92</v>
      </c>
      <c r="Q28" s="31">
        <v>92</v>
      </c>
      <c r="R28" s="31">
        <v>93</v>
      </c>
      <c r="S28" s="30"/>
      <c r="T28" s="30"/>
      <c r="U28" s="32"/>
      <c r="V28" s="32"/>
      <c r="W28" s="32"/>
      <c r="X28" s="30"/>
      <c r="Y28" s="30"/>
      <c r="Z28" s="30"/>
      <c r="AA28" s="30"/>
      <c r="AB28" s="30"/>
      <c r="AC28" s="30"/>
      <c r="AD28" s="30"/>
      <c r="AE28" s="31">
        <v>150</v>
      </c>
      <c r="AF28" s="31"/>
      <c r="AG28" s="30"/>
      <c r="AH28" s="35">
        <v>50</v>
      </c>
      <c r="AI28" s="30">
        <v>50</v>
      </c>
      <c r="AJ28" s="30"/>
      <c r="AK28" s="77"/>
      <c r="AL28" s="30"/>
      <c r="AM28" s="30"/>
      <c r="AN28" s="30"/>
      <c r="AO28" s="51"/>
      <c r="AP28" s="51"/>
      <c r="AQ28" s="51"/>
      <c r="AR28" s="51"/>
      <c r="AS28" s="51"/>
      <c r="AT28" s="51"/>
      <c r="AU28" s="30"/>
      <c r="AV28" s="30"/>
      <c r="AW28" s="30"/>
      <c r="AX28" s="30"/>
      <c r="AY28" s="30"/>
      <c r="AZ28" s="30"/>
      <c r="BA28" s="30"/>
      <c r="BB28" s="35"/>
      <c r="BC28" s="28">
        <f>120+21+75</f>
        <v>216</v>
      </c>
      <c r="BD28" s="28">
        <v>84</v>
      </c>
      <c r="BE28" s="28"/>
      <c r="BF28" s="28"/>
      <c r="BG28" s="28">
        <v>280</v>
      </c>
      <c r="BH28" s="32"/>
      <c r="BI28" s="32"/>
      <c r="BJ28" s="28"/>
      <c r="BK28" s="28"/>
      <c r="BL28" s="28">
        <v>150</v>
      </c>
      <c r="BM28" s="28"/>
      <c r="BN28" s="28">
        <v>150</v>
      </c>
      <c r="BO28" s="28"/>
      <c r="BP28" s="28"/>
      <c r="BQ28" s="119">
        <v>153</v>
      </c>
      <c r="BR28" s="119"/>
      <c r="BS28" s="119">
        <v>60</v>
      </c>
      <c r="BT28" s="119"/>
      <c r="BU28" s="119"/>
      <c r="BV28" s="119"/>
      <c r="BW28" s="28"/>
      <c r="BX28" s="119"/>
      <c r="BY28" s="119">
        <v>32</v>
      </c>
      <c r="BZ28" s="119"/>
      <c r="CA28" s="119"/>
      <c r="CB28" s="119"/>
      <c r="CC28" s="119"/>
      <c r="CD28" s="119"/>
      <c r="CE28" s="119"/>
      <c r="CF28" s="119">
        <v>8</v>
      </c>
      <c r="CG28" s="145"/>
    </row>
    <row r="29" spans="1:85">
      <c r="A29" s="28" t="s">
        <v>122</v>
      </c>
      <c r="B29" s="29" t="s">
        <v>51</v>
      </c>
      <c r="C29" s="29"/>
      <c r="D29" s="30">
        <f>780+1600+1600</f>
        <v>3980</v>
      </c>
      <c r="E29" s="30" t="s">
        <v>50</v>
      </c>
      <c r="F29" s="30"/>
      <c r="G29" s="30"/>
      <c r="H29" s="30"/>
      <c r="I29" s="30">
        <v>90</v>
      </c>
      <c r="J29" s="30">
        <v>97</v>
      </c>
      <c r="K29" s="30">
        <v>90</v>
      </c>
      <c r="L29" s="30"/>
      <c r="M29" s="30"/>
      <c r="N29" s="30"/>
      <c r="O29" s="31">
        <v>99</v>
      </c>
      <c r="P29" s="31">
        <v>99</v>
      </c>
      <c r="Q29" s="31">
        <v>99</v>
      </c>
      <c r="R29" s="31">
        <v>98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1"/>
      <c r="AF29" s="31">
        <v>150</v>
      </c>
      <c r="AG29" s="30"/>
      <c r="AH29" s="35">
        <v>50</v>
      </c>
      <c r="AI29" s="30">
        <v>50</v>
      </c>
      <c r="AJ29" s="30"/>
      <c r="AK29" s="77"/>
      <c r="AL29" s="30"/>
      <c r="AM29" s="30"/>
      <c r="AN29" s="30"/>
      <c r="AO29" s="51"/>
      <c r="AP29" s="51"/>
      <c r="AQ29" s="51"/>
      <c r="AR29" s="51"/>
      <c r="AS29" s="51"/>
      <c r="AT29" s="51"/>
      <c r="AU29" s="30"/>
      <c r="AV29" s="30"/>
      <c r="AW29" s="30"/>
      <c r="AX29" s="30"/>
      <c r="AY29" s="30"/>
      <c r="AZ29" s="30"/>
      <c r="BA29" s="30"/>
      <c r="BB29" s="35"/>
      <c r="BC29" s="28">
        <f>120+26+75</f>
        <v>221</v>
      </c>
      <c r="BD29" s="28">
        <f>75+150</f>
        <v>225</v>
      </c>
      <c r="BE29" s="28">
        <v>280</v>
      </c>
      <c r="BF29" s="28">
        <v>280</v>
      </c>
      <c r="BG29" s="32"/>
      <c r="BH29" s="28">
        <v>280</v>
      </c>
      <c r="BI29" s="28">
        <v>150</v>
      </c>
      <c r="BJ29" s="28"/>
      <c r="BK29" s="28">
        <v>25</v>
      </c>
      <c r="BL29" s="28"/>
      <c r="BM29" s="28">
        <v>150</v>
      </c>
      <c r="BN29" s="28"/>
      <c r="BO29" s="28">
        <v>150</v>
      </c>
      <c r="BP29" s="28"/>
      <c r="BQ29" s="119"/>
      <c r="BR29" s="119">
        <v>150</v>
      </c>
      <c r="BS29" s="119">
        <v>59</v>
      </c>
      <c r="BT29" s="119"/>
      <c r="BU29" s="119"/>
      <c r="BV29" s="119"/>
      <c r="BW29" s="28"/>
      <c r="BX29" s="119"/>
      <c r="BY29" s="119">
        <v>28</v>
      </c>
      <c r="BZ29" s="119"/>
      <c r="CA29" s="119"/>
      <c r="CB29" s="119"/>
      <c r="CC29" s="119"/>
      <c r="CD29" s="119"/>
      <c r="CE29" s="119"/>
      <c r="CF29" s="119">
        <v>21</v>
      </c>
      <c r="CG29" s="145"/>
    </row>
    <row r="30" spans="1:85">
      <c r="A30" s="28" t="s">
        <v>122</v>
      </c>
      <c r="B30" s="29" t="s">
        <v>117</v>
      </c>
      <c r="C30" s="29"/>
      <c r="D30" s="30">
        <v>297</v>
      </c>
      <c r="E30" s="30" t="s">
        <v>50</v>
      </c>
      <c r="F30" s="30"/>
      <c r="G30" s="30"/>
      <c r="H30" s="30"/>
      <c r="I30" s="32"/>
      <c r="J30" s="32"/>
      <c r="K30" s="30"/>
      <c r="L30" s="30"/>
      <c r="M30" s="30"/>
      <c r="N30" s="30"/>
      <c r="O30" s="32"/>
      <c r="P30" s="30"/>
      <c r="Q30" s="30"/>
      <c r="R30" s="30"/>
      <c r="S30" s="30"/>
      <c r="T30" s="30"/>
      <c r="U30" s="30">
        <v>90</v>
      </c>
      <c r="V30" s="30">
        <v>97</v>
      </c>
      <c r="W30" s="30">
        <v>110</v>
      </c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5"/>
      <c r="AI30" s="30"/>
      <c r="AJ30" s="30">
        <v>42</v>
      </c>
      <c r="AK30" s="77"/>
      <c r="AL30" s="30"/>
      <c r="AM30" s="30"/>
      <c r="AN30" s="30"/>
      <c r="AO30" s="51"/>
      <c r="AP30" s="51"/>
      <c r="AQ30" s="51"/>
      <c r="AR30" s="51" t="s">
        <v>123</v>
      </c>
      <c r="AS30" s="51"/>
      <c r="AT30" s="51"/>
      <c r="AU30" s="30"/>
      <c r="AV30" s="30"/>
      <c r="AW30" s="30"/>
      <c r="AX30" s="30"/>
      <c r="AY30" s="30"/>
      <c r="AZ30" s="30"/>
      <c r="BA30" s="30"/>
      <c r="BB30" s="35"/>
      <c r="BC30" s="28"/>
      <c r="BD30" s="28"/>
      <c r="BE30" s="28"/>
      <c r="BF30" s="32"/>
      <c r="BG30" s="32"/>
      <c r="BH30" s="32"/>
      <c r="BI30" s="32"/>
      <c r="BJ30" s="28"/>
      <c r="BK30" s="28"/>
      <c r="BL30" s="28"/>
      <c r="BM30" s="28"/>
      <c r="BN30" s="28"/>
      <c r="BO30" s="28"/>
      <c r="BP30" s="28"/>
      <c r="BQ30" s="119"/>
      <c r="BR30" s="119"/>
      <c r="BS30" s="119"/>
      <c r="BT30" s="119"/>
      <c r="BU30" s="119"/>
      <c r="BV30" s="119"/>
      <c r="BW30" s="28"/>
      <c r="BX30" s="119">
        <v>5</v>
      </c>
      <c r="BY30" s="119"/>
      <c r="BZ30" s="119"/>
      <c r="CA30" s="119"/>
      <c r="CB30" s="119"/>
      <c r="CC30" s="119"/>
      <c r="CD30" s="119"/>
      <c r="CE30" s="119"/>
      <c r="CF30" s="119"/>
      <c r="CG30" s="145"/>
    </row>
    <row r="31" spans="1:85">
      <c r="A31" s="28" t="s">
        <v>122</v>
      </c>
      <c r="B31" s="29" t="s">
        <v>118</v>
      </c>
      <c r="C31" s="29"/>
      <c r="D31" s="30">
        <f>377+650+1400</f>
        <v>2427</v>
      </c>
      <c r="E31" s="30" t="s">
        <v>50</v>
      </c>
      <c r="F31" s="32"/>
      <c r="G31" s="32"/>
      <c r="H31" s="32"/>
      <c r="I31" s="30">
        <v>69</v>
      </c>
      <c r="J31" s="30">
        <v>46</v>
      </c>
      <c r="K31" s="30"/>
      <c r="L31" s="30"/>
      <c r="M31" s="32"/>
      <c r="N31" s="32"/>
      <c r="O31" s="31">
        <v>29</v>
      </c>
      <c r="P31" s="30"/>
      <c r="Q31" s="30"/>
      <c r="R31" s="30"/>
      <c r="S31" s="30"/>
      <c r="T31" s="32"/>
      <c r="U31" s="30"/>
      <c r="V31" s="30"/>
      <c r="W31" s="30"/>
      <c r="X31" s="32"/>
      <c r="Y31" s="32"/>
      <c r="Z31" s="30"/>
      <c r="AA31" s="30"/>
      <c r="AB31" s="30"/>
      <c r="AC31" s="30"/>
      <c r="AD31" s="30"/>
      <c r="AE31" s="30"/>
      <c r="AF31" s="30"/>
      <c r="AG31" s="30"/>
      <c r="AH31" s="35"/>
      <c r="AI31" s="30"/>
      <c r="AJ31" s="32"/>
      <c r="AK31" s="36"/>
      <c r="AL31" s="32"/>
      <c r="AM31" s="32"/>
      <c r="AN31" s="30"/>
      <c r="AO31" s="51"/>
      <c r="AP31" s="51"/>
      <c r="AQ31" s="51"/>
      <c r="AR31" s="51"/>
      <c r="AS31" s="51"/>
      <c r="AT31" s="51"/>
      <c r="AU31" s="30"/>
      <c r="AV31" s="30"/>
      <c r="AW31" s="30"/>
      <c r="AX31" s="30">
        <v>50</v>
      </c>
      <c r="AY31" s="30">
        <v>150</v>
      </c>
      <c r="AZ31" s="30">
        <v>150</v>
      </c>
      <c r="BA31" s="30">
        <v>150</v>
      </c>
      <c r="BB31" s="35"/>
      <c r="BC31" s="32"/>
      <c r="BD31" s="32"/>
      <c r="BE31" s="32"/>
      <c r="BF31" s="28">
        <v>90</v>
      </c>
      <c r="BG31" s="32"/>
      <c r="BH31" s="32"/>
      <c r="BI31" s="32"/>
      <c r="BJ31" s="28">
        <v>150</v>
      </c>
      <c r="BK31" s="28">
        <v>124</v>
      </c>
      <c r="BL31" s="28"/>
      <c r="BM31" s="28"/>
      <c r="BN31" s="28"/>
      <c r="BO31" s="28"/>
      <c r="BP31" s="28"/>
      <c r="BQ31" s="119"/>
      <c r="BR31" s="119"/>
      <c r="BS31" s="119"/>
      <c r="BT31" s="119"/>
      <c r="BU31" s="119"/>
      <c r="BV31" s="126">
        <v>62</v>
      </c>
      <c r="BW31" s="32"/>
      <c r="BX31" s="119">
        <v>62</v>
      </c>
      <c r="BY31" s="119"/>
      <c r="BZ31" s="119"/>
      <c r="CA31" s="119"/>
      <c r="CB31" s="119"/>
      <c r="CC31" s="119"/>
      <c r="CD31" s="119"/>
      <c r="CE31" s="119"/>
      <c r="CF31" s="119"/>
      <c r="CG31" s="145"/>
    </row>
    <row r="32" spans="1:85">
      <c r="A32" s="28" t="s">
        <v>122</v>
      </c>
      <c r="B32" s="29" t="s">
        <v>41</v>
      </c>
      <c r="C32" s="29"/>
      <c r="D32" s="30">
        <f>100+500</f>
        <v>600</v>
      </c>
      <c r="E32" s="30" t="s">
        <v>115</v>
      </c>
      <c r="F32" s="30">
        <v>11</v>
      </c>
      <c r="G32" s="30">
        <v>17</v>
      </c>
      <c r="H32" s="30">
        <v>15</v>
      </c>
      <c r="I32" s="30">
        <v>8</v>
      </c>
      <c r="J32" s="30">
        <v>10</v>
      </c>
      <c r="K32" s="30"/>
      <c r="L32" s="30"/>
      <c r="M32" s="32"/>
      <c r="N32" s="32"/>
      <c r="O32" s="30"/>
      <c r="P32" s="30"/>
      <c r="Q32" s="31">
        <v>0</v>
      </c>
      <c r="R32" s="31">
        <v>0</v>
      </c>
      <c r="S32" s="30"/>
      <c r="T32" s="30">
        <v>50</v>
      </c>
      <c r="U32" s="30">
        <v>30</v>
      </c>
      <c r="V32" s="30">
        <v>20</v>
      </c>
      <c r="W32" s="30"/>
      <c r="X32" s="30"/>
      <c r="Y32" s="30"/>
      <c r="Z32" s="30"/>
      <c r="AA32" s="30"/>
      <c r="AB32" s="30"/>
      <c r="AC32" s="30"/>
      <c r="AD32" s="30"/>
      <c r="AE32" s="31">
        <v>50</v>
      </c>
      <c r="AF32" s="31">
        <v>53</v>
      </c>
      <c r="AG32" s="30"/>
      <c r="AH32" s="35"/>
      <c r="AI32" s="31">
        <v>50</v>
      </c>
      <c r="AJ32" s="31">
        <v>100</v>
      </c>
      <c r="AK32" s="88">
        <v>100</v>
      </c>
      <c r="AL32" s="31">
        <v>100</v>
      </c>
      <c r="AM32" s="31">
        <v>50</v>
      </c>
      <c r="AN32" s="30"/>
      <c r="AO32" s="51"/>
      <c r="AP32" s="89">
        <v>100</v>
      </c>
      <c r="AQ32" s="89">
        <v>100</v>
      </c>
      <c r="AR32" s="89"/>
      <c r="AS32" s="89">
        <v>100</v>
      </c>
      <c r="AT32" s="89">
        <v>100</v>
      </c>
      <c r="AU32" s="30"/>
      <c r="AV32" s="30">
        <v>100</v>
      </c>
      <c r="AW32" s="30">
        <v>168</v>
      </c>
      <c r="AX32" s="30"/>
      <c r="AY32" s="30"/>
      <c r="AZ32" s="30"/>
      <c r="BA32" s="30"/>
      <c r="BB32" s="35"/>
      <c r="BC32" s="32"/>
      <c r="BD32" s="32"/>
      <c r="BE32" s="32"/>
      <c r="BF32" s="32"/>
      <c r="BG32" s="32"/>
      <c r="BH32" s="32"/>
      <c r="BI32" s="32"/>
      <c r="BJ32" s="28"/>
      <c r="BK32" s="28"/>
      <c r="BL32" s="28"/>
      <c r="BM32" s="28"/>
      <c r="BN32" s="28"/>
      <c r="BO32" s="28"/>
      <c r="BP32" s="28"/>
      <c r="BQ32" s="119"/>
      <c r="BR32" s="119"/>
      <c r="BS32" s="119"/>
      <c r="BT32" s="119">
        <v>32</v>
      </c>
      <c r="BU32" s="119"/>
      <c r="BV32" s="119"/>
      <c r="BW32" s="32"/>
      <c r="BX32" s="119"/>
      <c r="BY32" s="119"/>
      <c r="BZ32" s="119"/>
      <c r="CA32" s="119"/>
      <c r="CB32" s="119"/>
      <c r="CC32" s="119"/>
      <c r="CD32" s="119"/>
      <c r="CE32" s="119"/>
      <c r="CF32" s="119"/>
      <c r="CG32" s="145"/>
    </row>
    <row r="33" spans="1:85" ht="16.5" customHeight="1">
      <c r="A33" s="28" t="s">
        <v>122</v>
      </c>
      <c r="B33" s="29" t="s">
        <v>119</v>
      </c>
      <c r="C33" s="29"/>
      <c r="D33" s="30">
        <f>40+500</f>
        <v>540</v>
      </c>
      <c r="E33" s="30" t="s">
        <v>115</v>
      </c>
      <c r="F33" s="30">
        <v>16</v>
      </c>
      <c r="G33" s="30">
        <v>10</v>
      </c>
      <c r="H33" s="30">
        <v>15</v>
      </c>
      <c r="I33" s="30">
        <v>11</v>
      </c>
      <c r="J33" s="30">
        <v>7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1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5"/>
      <c r="AI33" s="31"/>
      <c r="AJ33" s="31">
        <v>100</v>
      </c>
      <c r="AK33" s="88">
        <v>100</v>
      </c>
      <c r="AL33" s="31"/>
      <c r="AM33" s="31"/>
      <c r="AN33" s="30"/>
      <c r="AO33" s="51"/>
      <c r="AP33" s="51">
        <v>50</v>
      </c>
      <c r="AQ33" s="51">
        <v>100</v>
      </c>
      <c r="AR33" s="51">
        <v>50</v>
      </c>
      <c r="AS33" s="51">
        <v>100</v>
      </c>
      <c r="AT33" s="51"/>
      <c r="AU33" s="30"/>
      <c r="AV33" s="30"/>
      <c r="AW33" s="30"/>
      <c r="AX33" s="30"/>
      <c r="AY33" s="30"/>
      <c r="AZ33" s="30"/>
      <c r="BA33" s="30"/>
      <c r="BB33" s="35"/>
      <c r="BC33" s="32"/>
      <c r="BD33" s="32"/>
      <c r="BE33" s="32"/>
      <c r="BF33" s="32"/>
      <c r="BG33" s="32"/>
      <c r="BH33" s="32"/>
      <c r="BI33" s="32"/>
      <c r="BJ33" s="28"/>
      <c r="BK33" s="28"/>
      <c r="BL33" s="28"/>
      <c r="BM33" s="28"/>
      <c r="BN33" s="28"/>
      <c r="BO33" s="28"/>
      <c r="BP33" s="28"/>
      <c r="BQ33" s="119"/>
      <c r="BR33" s="119"/>
      <c r="BS33" s="119"/>
      <c r="BT33" s="119"/>
      <c r="BU33" s="119"/>
      <c r="BV33" s="119"/>
      <c r="BW33" s="32"/>
      <c r="BX33" s="119"/>
      <c r="BY33" s="119"/>
      <c r="BZ33" s="119"/>
      <c r="CA33" s="119"/>
      <c r="CB33" s="119"/>
      <c r="CC33" s="119">
        <v>100</v>
      </c>
      <c r="CD33" s="119"/>
      <c r="CE33" s="119"/>
      <c r="CF33" s="119"/>
      <c r="CG33" s="145"/>
    </row>
    <row r="34" spans="1:85">
      <c r="A34" s="28" t="s">
        <v>122</v>
      </c>
      <c r="B34" s="29" t="s">
        <v>44</v>
      </c>
      <c r="C34" s="29"/>
      <c r="D34" s="30">
        <v>600</v>
      </c>
      <c r="E34" s="30" t="s">
        <v>115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5"/>
      <c r="AI34" s="30"/>
      <c r="AJ34" s="30"/>
      <c r="AK34" s="77"/>
      <c r="AL34" s="30"/>
      <c r="AM34" s="30"/>
      <c r="AN34" s="30"/>
      <c r="AO34" s="51"/>
      <c r="AP34" s="51"/>
      <c r="AQ34" s="51"/>
      <c r="AR34" s="51"/>
      <c r="AS34" s="51"/>
      <c r="AT34" s="51"/>
      <c r="AU34" s="30"/>
      <c r="AV34" s="30">
        <v>80</v>
      </c>
      <c r="AW34" s="30">
        <v>60</v>
      </c>
      <c r="AX34" s="30"/>
      <c r="AY34" s="30">
        <v>60</v>
      </c>
      <c r="AZ34" s="30">
        <v>60</v>
      </c>
      <c r="BA34" s="30">
        <v>120</v>
      </c>
      <c r="BB34" s="35"/>
      <c r="BC34" s="32"/>
      <c r="BD34" s="32"/>
      <c r="BE34" s="32"/>
      <c r="BF34" s="28">
        <f>135-23</f>
        <v>112</v>
      </c>
      <c r="BG34" s="32"/>
      <c r="BH34" s="32"/>
      <c r="BI34" s="32"/>
      <c r="BJ34" s="28"/>
      <c r="BK34" s="28"/>
      <c r="BL34" s="28"/>
      <c r="BM34" s="28"/>
      <c r="BN34" s="28"/>
      <c r="BO34" s="28"/>
      <c r="BP34" s="28"/>
      <c r="BQ34" s="119"/>
      <c r="BR34" s="119"/>
      <c r="BS34" s="119"/>
      <c r="BT34" s="119"/>
      <c r="BU34" s="119"/>
      <c r="BV34" s="119"/>
      <c r="BW34" s="32"/>
      <c r="BX34" s="119">
        <v>32</v>
      </c>
      <c r="BY34" s="119">
        <v>75</v>
      </c>
      <c r="BZ34" s="119">
        <v>75</v>
      </c>
      <c r="CA34" s="119">
        <v>75</v>
      </c>
      <c r="CB34" s="119">
        <v>50</v>
      </c>
      <c r="CC34" s="119">
        <v>32</v>
      </c>
      <c r="CD34" s="119">
        <v>32</v>
      </c>
      <c r="CE34" s="119">
        <v>75</v>
      </c>
      <c r="CF34" s="119">
        <v>19</v>
      </c>
      <c r="CG34" s="145"/>
    </row>
    <row r="35" spans="1:85">
      <c r="A35" s="28" t="s">
        <v>122</v>
      </c>
      <c r="B35" s="29" t="s">
        <v>120</v>
      </c>
      <c r="C35" s="29"/>
      <c r="D35" s="30">
        <v>600</v>
      </c>
      <c r="E35" s="30" t="s">
        <v>115</v>
      </c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1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5"/>
      <c r="AI35" s="30"/>
      <c r="AJ35" s="30"/>
      <c r="AK35" s="77"/>
      <c r="AL35" s="30"/>
      <c r="AM35" s="30"/>
      <c r="AN35" s="30"/>
      <c r="AO35" s="51"/>
      <c r="AP35" s="51">
        <v>100</v>
      </c>
      <c r="AQ35" s="51">
        <v>50</v>
      </c>
      <c r="AR35" s="51">
        <v>100</v>
      </c>
      <c r="AS35" s="51">
        <v>50</v>
      </c>
      <c r="AT35" s="51"/>
      <c r="AU35" s="30"/>
      <c r="AV35" s="30"/>
      <c r="AW35" s="30"/>
      <c r="AX35" s="30"/>
      <c r="AY35" s="30"/>
      <c r="AZ35" s="30"/>
      <c r="BA35" s="30"/>
      <c r="BB35" s="35"/>
      <c r="BC35" s="32"/>
      <c r="BD35" s="32"/>
      <c r="BE35" s="32"/>
      <c r="BF35" s="32"/>
      <c r="BG35" s="32"/>
      <c r="BH35" s="32"/>
      <c r="BI35" s="32"/>
      <c r="BJ35" s="28"/>
      <c r="BK35" s="28"/>
      <c r="BL35" s="28"/>
      <c r="BM35" s="28"/>
      <c r="BN35" s="28"/>
      <c r="BO35" s="28"/>
      <c r="BP35" s="28"/>
      <c r="BQ35" s="119"/>
      <c r="BR35" s="119"/>
      <c r="BS35" s="119"/>
      <c r="BT35" s="119"/>
      <c r="BU35" s="119"/>
      <c r="BV35" s="119"/>
      <c r="BW35" s="32"/>
      <c r="BX35" s="119"/>
      <c r="BY35" s="119"/>
      <c r="BZ35" s="119"/>
      <c r="CA35" s="119"/>
      <c r="CB35" s="129"/>
      <c r="CC35" s="129">
        <v>95</v>
      </c>
      <c r="CD35" s="129"/>
      <c r="CE35" s="129"/>
      <c r="CF35" s="119"/>
      <c r="CG35" s="145"/>
    </row>
    <row r="36" spans="1:85">
      <c r="A36" s="28" t="s">
        <v>122</v>
      </c>
      <c r="B36" s="29" t="s">
        <v>47</v>
      </c>
      <c r="C36" s="29"/>
      <c r="D36" s="30">
        <f>320+320</f>
        <v>640</v>
      </c>
      <c r="E36" s="30" t="s">
        <v>115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5"/>
      <c r="AI36" s="30"/>
      <c r="AJ36" s="30"/>
      <c r="AK36" s="77"/>
      <c r="AL36" s="30"/>
      <c r="AM36" s="30"/>
      <c r="AN36" s="30"/>
      <c r="AO36" s="51"/>
      <c r="AP36" s="51"/>
      <c r="AQ36" s="51"/>
      <c r="AR36" s="51"/>
      <c r="AS36" s="51"/>
      <c r="AT36" s="51"/>
      <c r="AU36" s="30"/>
      <c r="AV36" s="30"/>
      <c r="AW36" s="30"/>
      <c r="AX36" s="30"/>
      <c r="AY36" s="30"/>
      <c r="AZ36" s="30"/>
      <c r="BA36" s="30"/>
      <c r="BB36" s="35"/>
      <c r="BC36" s="32"/>
      <c r="BD36" s="28">
        <v>36</v>
      </c>
      <c r="BE36" s="28">
        <v>36</v>
      </c>
      <c r="BF36" s="32"/>
      <c r="BG36" s="28">
        <v>36</v>
      </c>
      <c r="BH36" s="32"/>
      <c r="BI36" s="32"/>
      <c r="BJ36" s="28">
        <v>29</v>
      </c>
      <c r="BK36" s="28">
        <v>60</v>
      </c>
      <c r="BL36" s="28">
        <v>60</v>
      </c>
      <c r="BM36" s="28">
        <v>60</v>
      </c>
      <c r="BN36" s="28">
        <v>72</v>
      </c>
      <c r="BO36" s="28"/>
      <c r="BP36" s="28"/>
      <c r="BQ36" s="119">
        <v>30</v>
      </c>
      <c r="BR36" s="119"/>
      <c r="BS36" s="119"/>
      <c r="BT36" s="119"/>
      <c r="BU36" s="119"/>
      <c r="BV36" s="119"/>
      <c r="BW36" s="32"/>
      <c r="BX36" s="119"/>
      <c r="BY36" s="119"/>
      <c r="BZ36" s="119"/>
      <c r="CA36" s="127"/>
      <c r="CB36" s="119"/>
      <c r="CC36" s="119"/>
      <c r="CD36" s="119"/>
      <c r="CE36" s="119"/>
      <c r="CF36" s="128">
        <v>40</v>
      </c>
      <c r="CG36" s="145">
        <v>20</v>
      </c>
    </row>
    <row r="37" spans="1:85">
      <c r="A37" s="28" t="s">
        <v>122</v>
      </c>
      <c r="B37" s="29" t="s">
        <v>29</v>
      </c>
      <c r="C37" s="29"/>
      <c r="D37" s="30">
        <v>0</v>
      </c>
      <c r="E37" s="30" t="s">
        <v>50</v>
      </c>
      <c r="F37" s="30"/>
      <c r="G37" s="30"/>
      <c r="H37" s="30"/>
      <c r="I37" s="32"/>
      <c r="J37" s="32"/>
      <c r="K37" s="32"/>
      <c r="L37" s="30"/>
      <c r="M37" s="30"/>
      <c r="N37" s="30"/>
      <c r="O37" s="32"/>
      <c r="P37" s="32"/>
      <c r="Q37" s="32"/>
      <c r="R37" s="32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5"/>
      <c r="AI37" s="30"/>
      <c r="AJ37" s="30"/>
      <c r="AK37" s="77"/>
      <c r="AL37" s="30"/>
      <c r="AM37" s="30"/>
      <c r="AN37" s="30"/>
      <c r="AO37" s="51"/>
      <c r="AP37" s="51"/>
      <c r="AQ37" s="51"/>
      <c r="AR37" s="51"/>
      <c r="AS37" s="51"/>
      <c r="AT37" s="51"/>
      <c r="AU37" s="30"/>
      <c r="AV37" s="30"/>
      <c r="AW37" s="30"/>
      <c r="AX37" s="30"/>
      <c r="AY37" s="30"/>
      <c r="AZ37" s="30"/>
      <c r="BA37" s="30"/>
      <c r="BB37" s="35"/>
      <c r="BC37" s="32"/>
      <c r="BD37" s="32"/>
      <c r="BE37" s="32"/>
      <c r="BF37" s="32"/>
      <c r="BG37" s="32"/>
      <c r="BH37" s="32"/>
      <c r="BI37" s="32"/>
      <c r="BJ37" s="28"/>
      <c r="BK37" s="28"/>
      <c r="BL37" s="28"/>
      <c r="BM37" s="28"/>
      <c r="BN37" s="28"/>
      <c r="BO37" s="28"/>
      <c r="BP37" s="28"/>
      <c r="BQ37" s="119"/>
      <c r="BR37" s="119"/>
      <c r="BS37" s="119"/>
      <c r="BT37" s="119"/>
      <c r="BU37" s="119"/>
      <c r="BV37" s="119"/>
      <c r="BW37" s="32"/>
      <c r="BX37" s="119"/>
      <c r="BY37" s="119"/>
      <c r="BZ37" s="119"/>
      <c r="CA37" s="127"/>
      <c r="CB37" s="119"/>
      <c r="CC37" s="119"/>
      <c r="CD37" s="119"/>
      <c r="CE37" s="119"/>
      <c r="CF37" s="128"/>
      <c r="CG37" s="145"/>
    </row>
    <row r="38" spans="1:85">
      <c r="A38" s="28" t="s">
        <v>122</v>
      </c>
      <c r="B38" s="29" t="s">
        <v>22</v>
      </c>
      <c r="C38" s="29"/>
      <c r="D38" s="30">
        <v>150</v>
      </c>
      <c r="E38" s="30" t="s">
        <v>50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2"/>
      <c r="W38" s="32"/>
      <c r="X38" s="32"/>
      <c r="Y38" s="32"/>
      <c r="Z38" s="30"/>
      <c r="AA38" s="30"/>
      <c r="AB38" s="30"/>
      <c r="AC38" s="30"/>
      <c r="AD38" s="30"/>
      <c r="AE38" s="30"/>
      <c r="AF38" s="30"/>
      <c r="AG38" s="30"/>
      <c r="AH38" s="35"/>
      <c r="AI38" s="30"/>
      <c r="AJ38" s="30"/>
      <c r="AK38" s="77"/>
      <c r="AL38" s="30"/>
      <c r="AM38" s="30"/>
      <c r="AN38" s="30"/>
      <c r="AO38" s="51"/>
      <c r="AP38" s="51"/>
      <c r="AQ38" s="51"/>
      <c r="AR38" s="51"/>
      <c r="AS38" s="51"/>
      <c r="AT38" s="51"/>
      <c r="AU38" s="30"/>
      <c r="AV38" s="30"/>
      <c r="AW38" s="30"/>
      <c r="AX38" s="30"/>
      <c r="AY38" s="30"/>
      <c r="AZ38" s="30"/>
      <c r="BA38" s="30"/>
      <c r="BB38" s="35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119"/>
      <c r="BR38" s="119"/>
      <c r="BS38" s="119"/>
      <c r="BT38" s="126">
        <v>40</v>
      </c>
      <c r="BU38" s="126">
        <v>40</v>
      </c>
      <c r="BV38" s="126">
        <v>50</v>
      </c>
      <c r="BW38" s="32"/>
      <c r="BX38" s="119">
        <v>40</v>
      </c>
      <c r="BY38" s="119">
        <v>40</v>
      </c>
      <c r="BZ38" s="119">
        <v>40</v>
      </c>
      <c r="CA38" s="127"/>
      <c r="CB38" s="119"/>
      <c r="CC38" s="119"/>
      <c r="CD38" s="119"/>
      <c r="CE38" s="119"/>
      <c r="CF38" s="128"/>
      <c r="CG38" s="145"/>
    </row>
    <row r="39" spans="1:85">
      <c r="A39" s="28" t="s">
        <v>122</v>
      </c>
      <c r="B39" s="29" t="s">
        <v>121</v>
      </c>
      <c r="C39" s="29"/>
      <c r="D39" s="30">
        <v>290</v>
      </c>
      <c r="E39" s="30" t="s">
        <v>50</v>
      </c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5"/>
      <c r="AI39" s="30"/>
      <c r="AJ39" s="30"/>
      <c r="AK39" s="77"/>
      <c r="AL39" s="30"/>
      <c r="AM39" s="30"/>
      <c r="AN39" s="30"/>
      <c r="AO39" s="51"/>
      <c r="AP39" s="51"/>
      <c r="AQ39" s="51"/>
      <c r="AR39" s="51"/>
      <c r="AS39" s="51"/>
      <c r="AT39" s="51"/>
      <c r="AU39" s="30"/>
      <c r="AV39" s="30"/>
      <c r="AW39" s="30"/>
      <c r="AX39" s="30"/>
      <c r="AY39" s="30"/>
      <c r="AZ39" s="30"/>
      <c r="BA39" s="30"/>
      <c r="BB39" s="35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119"/>
      <c r="BR39" s="119"/>
      <c r="BS39" s="119"/>
      <c r="BT39" s="126"/>
      <c r="BU39" s="126">
        <v>100</v>
      </c>
      <c r="BV39" s="126">
        <v>100</v>
      </c>
      <c r="BW39" s="32"/>
      <c r="BX39" s="119">
        <v>50</v>
      </c>
      <c r="BY39" s="119"/>
      <c r="BZ39" s="119"/>
      <c r="CA39" s="119"/>
      <c r="CB39" s="130">
        <v>50</v>
      </c>
      <c r="CC39" s="130">
        <v>100</v>
      </c>
      <c r="CD39" s="130">
        <v>90</v>
      </c>
      <c r="CE39" s="130"/>
      <c r="CF39" s="119"/>
      <c r="CG39" s="145"/>
    </row>
    <row r="40" spans="1:85">
      <c r="A40" s="52" t="s">
        <v>124</v>
      </c>
      <c r="B40" s="53" t="s">
        <v>84</v>
      </c>
      <c r="C40" s="53"/>
      <c r="D40" s="54">
        <v>600</v>
      </c>
      <c r="E40" s="54" t="s">
        <v>115</v>
      </c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>
        <v>20</v>
      </c>
      <c r="AC40" s="54">
        <v>35</v>
      </c>
      <c r="AD40" s="54">
        <v>0</v>
      </c>
      <c r="AE40" s="54">
        <v>35</v>
      </c>
      <c r="AF40" s="54">
        <v>31</v>
      </c>
      <c r="AG40" s="54">
        <v>39</v>
      </c>
      <c r="AH40" s="55"/>
      <c r="AI40" s="54">
        <v>40</v>
      </c>
      <c r="AJ40" s="54">
        <v>0</v>
      </c>
      <c r="AK40" s="78">
        <v>0</v>
      </c>
      <c r="AL40" s="54">
        <v>0</v>
      </c>
      <c r="AM40" s="54">
        <v>0</v>
      </c>
      <c r="AN40" s="54">
        <v>0</v>
      </c>
      <c r="AO40" s="54">
        <v>100</v>
      </c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5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146"/>
    </row>
    <row r="41" spans="1:85">
      <c r="A41" s="52" t="s">
        <v>124</v>
      </c>
      <c r="B41" s="53" t="s">
        <v>34</v>
      </c>
      <c r="C41" s="53"/>
      <c r="D41" s="54">
        <v>600</v>
      </c>
      <c r="E41" s="54" t="s">
        <v>115</v>
      </c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>
        <v>16</v>
      </c>
      <c r="AC41" s="54">
        <v>0</v>
      </c>
      <c r="AD41" s="54">
        <v>0</v>
      </c>
      <c r="AE41" s="54">
        <v>0</v>
      </c>
      <c r="AF41" s="54">
        <v>0</v>
      </c>
      <c r="AG41" s="54">
        <v>21</v>
      </c>
      <c r="AH41" s="55">
        <v>115</v>
      </c>
      <c r="AI41" s="54">
        <v>48</v>
      </c>
      <c r="AJ41" s="54">
        <v>0</v>
      </c>
      <c r="AK41" s="78">
        <v>0</v>
      </c>
      <c r="AL41" s="54">
        <v>0</v>
      </c>
      <c r="AM41" s="54">
        <v>0</v>
      </c>
      <c r="AN41" s="54">
        <v>0</v>
      </c>
      <c r="AO41" s="54">
        <v>100</v>
      </c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5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146"/>
    </row>
    <row r="42" spans="1:85">
      <c r="A42" s="52" t="s">
        <v>124</v>
      </c>
      <c r="B42" s="53" t="s">
        <v>36</v>
      </c>
      <c r="C42" s="53"/>
      <c r="D42" s="54">
        <v>600</v>
      </c>
      <c r="E42" s="54" t="s">
        <v>115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>
        <v>113</v>
      </c>
      <c r="AB42" s="54">
        <v>20</v>
      </c>
      <c r="AC42" s="54"/>
      <c r="AD42" s="54"/>
      <c r="AE42" s="54"/>
      <c r="AF42" s="54"/>
      <c r="AG42" s="54"/>
      <c r="AH42" s="55">
        <v>72</v>
      </c>
      <c r="AI42" s="54"/>
      <c r="AJ42" s="54"/>
      <c r="AK42" s="78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>
        <v>16</v>
      </c>
      <c r="AZ42" s="54"/>
      <c r="BA42" s="54"/>
      <c r="BB42" s="55"/>
      <c r="BC42" s="52"/>
      <c r="BD42" s="52"/>
      <c r="BE42" s="52"/>
      <c r="BF42" s="52">
        <v>60</v>
      </c>
      <c r="BG42" s="52">
        <v>46</v>
      </c>
      <c r="BH42" s="52"/>
      <c r="BI42" s="52"/>
      <c r="BJ42" s="52">
        <v>30</v>
      </c>
      <c r="BK42" s="52">
        <v>36</v>
      </c>
      <c r="BL42" s="52">
        <v>89</v>
      </c>
      <c r="BM42" s="52"/>
      <c r="BN42" s="52"/>
      <c r="BO42" s="52"/>
      <c r="BP42" s="56"/>
      <c r="BQ42" s="56"/>
      <c r="BR42" s="56"/>
      <c r="BS42" s="56"/>
      <c r="BT42" s="56">
        <v>15</v>
      </c>
      <c r="BU42" s="56"/>
      <c r="BV42" s="56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146"/>
    </row>
    <row r="43" spans="1:85">
      <c r="A43" s="52" t="s">
        <v>124</v>
      </c>
      <c r="B43" s="53" t="s">
        <v>37</v>
      </c>
      <c r="C43" s="53"/>
      <c r="D43" s="54">
        <v>550</v>
      </c>
      <c r="E43" s="54" t="s">
        <v>115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2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5">
        <v>10</v>
      </c>
      <c r="AI43" s="54">
        <v>90</v>
      </c>
      <c r="AJ43" s="54"/>
      <c r="AK43" s="78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>
        <v>80</v>
      </c>
      <c r="AZ43" s="54">
        <v>88</v>
      </c>
      <c r="BA43" s="54"/>
      <c r="BB43" s="55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6"/>
      <c r="BQ43" s="56">
        <v>10</v>
      </c>
      <c r="BR43" s="56">
        <v>70</v>
      </c>
      <c r="BS43" s="56">
        <v>71</v>
      </c>
      <c r="BT43" s="56">
        <v>20</v>
      </c>
      <c r="BU43" s="56"/>
      <c r="BV43" s="56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146"/>
    </row>
    <row r="44" spans="1:85">
      <c r="A44" s="52" t="s">
        <v>124</v>
      </c>
      <c r="B44" s="53" t="s">
        <v>72</v>
      </c>
      <c r="C44" s="53"/>
      <c r="D44" s="54">
        <f>300+200+500</f>
        <v>1000</v>
      </c>
      <c r="E44" s="54" t="s">
        <v>50</v>
      </c>
      <c r="F44" s="54">
        <v>44</v>
      </c>
      <c r="G44" s="54">
        <v>22</v>
      </c>
      <c r="H44" s="54">
        <v>52</v>
      </c>
      <c r="I44" s="54"/>
      <c r="J44" s="54"/>
      <c r="K44" s="54"/>
      <c r="L44" s="54"/>
      <c r="M44" s="54">
        <v>7</v>
      </c>
      <c r="N44" s="54">
        <v>57</v>
      </c>
      <c r="O44" s="54"/>
      <c r="P44" s="54"/>
      <c r="Q44" s="54"/>
      <c r="R44" s="54"/>
      <c r="S44" s="54"/>
      <c r="T44" s="54">
        <v>39</v>
      </c>
      <c r="U44" s="54"/>
      <c r="V44" s="54">
        <v>3</v>
      </c>
      <c r="W44" s="54"/>
      <c r="X44" s="54"/>
      <c r="Y44" s="54">
        <v>5</v>
      </c>
      <c r="Z44" s="56"/>
      <c r="AA44" s="54">
        <v>0</v>
      </c>
      <c r="AB44" s="54">
        <v>0</v>
      </c>
      <c r="AC44" s="54">
        <v>0</v>
      </c>
      <c r="AD44" s="54"/>
      <c r="AE44" s="54"/>
      <c r="AF44" s="54">
        <v>112</v>
      </c>
      <c r="AG44" s="54"/>
      <c r="AH44" s="55"/>
      <c r="AI44" s="54"/>
      <c r="AJ44" s="54"/>
      <c r="AK44" s="78"/>
      <c r="AL44" s="54"/>
      <c r="AM44" s="54"/>
      <c r="AN44" s="54"/>
      <c r="AO44" s="54"/>
      <c r="AP44" s="54">
        <v>72</v>
      </c>
      <c r="AQ44" s="54">
        <v>3</v>
      </c>
      <c r="AR44" s="54">
        <v>70</v>
      </c>
      <c r="AS44" s="54">
        <v>55</v>
      </c>
      <c r="AT44" s="54"/>
      <c r="AU44" s="54"/>
      <c r="AV44" s="54"/>
      <c r="AW44" s="54"/>
      <c r="AX44" s="54"/>
      <c r="AY44" s="54"/>
      <c r="AZ44" s="54"/>
      <c r="BA44" s="54"/>
      <c r="BB44" s="55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6"/>
      <c r="BQ44" s="56"/>
      <c r="BR44" s="56"/>
      <c r="BS44" s="56"/>
      <c r="BT44" s="56"/>
      <c r="BU44" s="56"/>
      <c r="BV44" s="56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146"/>
    </row>
    <row r="45" spans="1:85">
      <c r="A45" s="52" t="s">
        <v>124</v>
      </c>
      <c r="B45" s="53" t="s">
        <v>61</v>
      </c>
      <c r="C45" s="53"/>
      <c r="D45" s="54">
        <f>300+200+500</f>
        <v>1000</v>
      </c>
      <c r="E45" s="54" t="s">
        <v>50</v>
      </c>
      <c r="F45" s="54">
        <v>30</v>
      </c>
      <c r="G45" s="54">
        <v>30</v>
      </c>
      <c r="H45" s="54">
        <v>42</v>
      </c>
      <c r="I45" s="54"/>
      <c r="J45" s="54"/>
      <c r="K45" s="54"/>
      <c r="L45" s="54"/>
      <c r="M45" s="54">
        <v>47</v>
      </c>
      <c r="N45" s="54">
        <v>9</v>
      </c>
      <c r="O45" s="54"/>
      <c r="P45" s="54"/>
      <c r="Q45" s="54"/>
      <c r="R45" s="54"/>
      <c r="S45" s="54"/>
      <c r="T45" s="54">
        <v>21</v>
      </c>
      <c r="U45" s="54"/>
      <c r="V45" s="54"/>
      <c r="W45" s="54">
        <v>8</v>
      </c>
      <c r="X45" s="54"/>
      <c r="Y45" s="54"/>
      <c r="Z45" s="56"/>
      <c r="AA45" s="54">
        <v>0</v>
      </c>
      <c r="AB45" s="54">
        <v>0</v>
      </c>
      <c r="AC45" s="54">
        <v>0</v>
      </c>
      <c r="AD45" s="54"/>
      <c r="AE45" s="54"/>
      <c r="AF45" s="54"/>
      <c r="AG45" s="54"/>
      <c r="AH45" s="55">
        <v>50</v>
      </c>
      <c r="AI45" s="54">
        <v>61</v>
      </c>
      <c r="AJ45" s="54"/>
      <c r="AK45" s="78"/>
      <c r="AL45" s="54"/>
      <c r="AM45" s="54"/>
      <c r="AN45" s="54"/>
      <c r="AO45" s="54"/>
      <c r="AP45" s="54"/>
      <c r="AQ45" s="54">
        <v>95</v>
      </c>
      <c r="AR45" s="54">
        <v>55</v>
      </c>
      <c r="AS45" s="54">
        <v>33</v>
      </c>
      <c r="AT45" s="54">
        <v>118</v>
      </c>
      <c r="AU45" s="54"/>
      <c r="AV45" s="54"/>
      <c r="AW45" s="54"/>
      <c r="AX45" s="54"/>
      <c r="AY45" s="54"/>
      <c r="AZ45" s="54"/>
      <c r="BA45" s="54"/>
      <c r="BB45" s="55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6"/>
      <c r="BQ45" s="56"/>
      <c r="BR45" s="56"/>
      <c r="BS45" s="56"/>
      <c r="BT45" s="56"/>
      <c r="BU45" s="56"/>
      <c r="BV45" s="56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146"/>
    </row>
    <row r="46" spans="1:85">
      <c r="A46" s="52" t="s">
        <v>124</v>
      </c>
      <c r="B46" s="53" t="s">
        <v>116</v>
      </c>
      <c r="C46" s="53"/>
      <c r="D46" s="54">
        <f>400+2100</f>
        <v>2500</v>
      </c>
      <c r="E46" s="54" t="s">
        <v>115</v>
      </c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>
        <v>30</v>
      </c>
      <c r="W46" s="54">
        <v>27</v>
      </c>
      <c r="X46" s="54">
        <v>23</v>
      </c>
      <c r="Y46" s="54"/>
      <c r="Z46" s="54"/>
      <c r="AA46" s="54"/>
      <c r="AB46" s="54"/>
      <c r="AC46" s="54">
        <v>58</v>
      </c>
      <c r="AD46" s="54">
        <v>42</v>
      </c>
      <c r="AE46" s="54">
        <v>51</v>
      </c>
      <c r="AF46" s="54">
        <v>75</v>
      </c>
      <c r="AG46" s="54"/>
      <c r="AH46" s="55">
        <v>59</v>
      </c>
      <c r="AI46" s="54">
        <v>75</v>
      </c>
      <c r="AJ46" s="54">
        <v>75</v>
      </c>
      <c r="AK46" s="78">
        <v>55</v>
      </c>
      <c r="AL46" s="54">
        <v>0</v>
      </c>
      <c r="AM46" s="54">
        <v>0</v>
      </c>
      <c r="AN46" s="54">
        <v>0</v>
      </c>
      <c r="AO46" s="54">
        <v>75</v>
      </c>
      <c r="AP46" s="54">
        <v>75</v>
      </c>
      <c r="AQ46" s="54">
        <v>75</v>
      </c>
      <c r="AR46" s="54">
        <v>80</v>
      </c>
      <c r="AS46" s="54">
        <v>80</v>
      </c>
      <c r="AT46" s="54">
        <v>70</v>
      </c>
      <c r="AU46" s="54"/>
      <c r="AV46" s="54">
        <v>120</v>
      </c>
      <c r="AW46" s="54">
        <v>104</v>
      </c>
      <c r="AX46" s="54"/>
      <c r="AY46" s="54"/>
      <c r="AZ46" s="54"/>
      <c r="BA46" s="54"/>
      <c r="BB46" s="55"/>
      <c r="BC46" s="52"/>
      <c r="BD46" s="52"/>
      <c r="BE46" s="52"/>
      <c r="BF46" s="52"/>
      <c r="BG46" s="52"/>
      <c r="BH46" s="52"/>
      <c r="BI46" s="52"/>
      <c r="BJ46" s="52">
        <v>75</v>
      </c>
      <c r="BK46" s="52">
        <v>74</v>
      </c>
      <c r="BL46" s="52">
        <v>50</v>
      </c>
      <c r="BM46" s="52">
        <v>65</v>
      </c>
      <c r="BN46" s="52">
        <v>80</v>
      </c>
      <c r="BO46" s="52">
        <v>75</v>
      </c>
      <c r="BP46" s="56"/>
      <c r="BQ46" s="56">
        <v>80</v>
      </c>
      <c r="BR46" s="56">
        <v>80</v>
      </c>
      <c r="BS46" s="56">
        <v>43</v>
      </c>
      <c r="BT46" s="56"/>
      <c r="BU46" s="56"/>
      <c r="BV46" s="56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146">
        <v>20</v>
      </c>
    </row>
    <row r="47" spans="1:85">
      <c r="A47" s="52" t="s">
        <v>124</v>
      </c>
      <c r="B47" s="53" t="s">
        <v>49</v>
      </c>
      <c r="C47" s="53"/>
      <c r="D47" s="54">
        <f>420+800+800</f>
        <v>2020</v>
      </c>
      <c r="E47" s="54" t="s">
        <v>50</v>
      </c>
      <c r="F47" s="54"/>
      <c r="G47" s="54"/>
      <c r="H47" s="54"/>
      <c r="I47" s="54"/>
      <c r="J47" s="54">
        <v>33</v>
      </c>
      <c r="K47" s="54">
        <v>84</v>
      </c>
      <c r="L47" s="54"/>
      <c r="M47" s="54"/>
      <c r="N47" s="54"/>
      <c r="O47" s="54">
        <v>75</v>
      </c>
      <c r="P47" s="54">
        <v>76</v>
      </c>
      <c r="Q47" s="54">
        <v>66</v>
      </c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>
        <v>6</v>
      </c>
      <c r="AF47" s="54">
        <v>44</v>
      </c>
      <c r="AG47" s="54"/>
      <c r="AH47" s="55">
        <v>53</v>
      </c>
      <c r="AI47" s="54">
        <v>39</v>
      </c>
      <c r="AJ47" s="54"/>
      <c r="AK47" s="78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5">
        <v>21</v>
      </c>
      <c r="BC47" s="52"/>
      <c r="BD47" s="52">
        <v>102</v>
      </c>
      <c r="BE47" s="52">
        <v>150</v>
      </c>
      <c r="BF47" s="52"/>
      <c r="BG47" s="52"/>
      <c r="BH47" s="52"/>
      <c r="BI47" s="52"/>
      <c r="BJ47" s="52">
        <v>70</v>
      </c>
      <c r="BK47" s="52"/>
      <c r="BL47" s="52"/>
      <c r="BM47" s="52">
        <v>140</v>
      </c>
      <c r="BN47" s="52">
        <v>63</v>
      </c>
      <c r="BO47" s="52">
        <v>41</v>
      </c>
      <c r="BP47" s="56"/>
      <c r="BQ47" s="56">
        <v>153</v>
      </c>
      <c r="BR47" s="56">
        <v>6</v>
      </c>
      <c r="BS47" s="56"/>
      <c r="BT47" s="56">
        <v>22</v>
      </c>
      <c r="BU47" s="56"/>
      <c r="BV47" s="56"/>
      <c r="BW47" s="52"/>
      <c r="BX47" s="52"/>
      <c r="BY47" s="52"/>
      <c r="BZ47" s="52"/>
      <c r="CA47" s="52"/>
      <c r="CB47" s="52">
        <v>29</v>
      </c>
      <c r="CC47" s="52"/>
      <c r="CD47" s="52"/>
      <c r="CE47" s="52"/>
      <c r="CF47" s="52"/>
      <c r="CG47" s="146"/>
    </row>
    <row r="48" spans="1:85">
      <c r="A48" s="52" t="s">
        <v>124</v>
      </c>
      <c r="B48" s="53" t="s">
        <v>51</v>
      </c>
      <c r="C48" s="53"/>
      <c r="D48" s="54">
        <f>780+1600+1600</f>
        <v>3980</v>
      </c>
      <c r="E48" s="54" t="s">
        <v>50</v>
      </c>
      <c r="F48" s="54"/>
      <c r="G48" s="54"/>
      <c r="H48" s="54"/>
      <c r="I48" s="54">
        <v>90</v>
      </c>
      <c r="J48" s="54">
        <v>97</v>
      </c>
      <c r="K48" s="54">
        <v>90</v>
      </c>
      <c r="L48" s="54"/>
      <c r="M48" s="54"/>
      <c r="N48" s="54"/>
      <c r="O48" s="54">
        <v>66</v>
      </c>
      <c r="P48" s="54">
        <v>80</v>
      </c>
      <c r="Q48" s="54">
        <v>60</v>
      </c>
      <c r="R48" s="54"/>
      <c r="S48" s="54"/>
      <c r="T48" s="54"/>
      <c r="U48" s="54"/>
      <c r="V48" s="54"/>
      <c r="W48" s="54">
        <v>24</v>
      </c>
      <c r="X48" s="54"/>
      <c r="Y48" s="54"/>
      <c r="Z48" s="54"/>
      <c r="AA48" s="54"/>
      <c r="AB48" s="54"/>
      <c r="AC48" s="54"/>
      <c r="AD48" s="54"/>
      <c r="AE48" s="54">
        <v>11</v>
      </c>
      <c r="AF48" s="54">
        <v>69</v>
      </c>
      <c r="AG48" s="54"/>
      <c r="AH48" s="55">
        <v>49</v>
      </c>
      <c r="AI48" s="54">
        <v>15</v>
      </c>
      <c r="AJ48" s="54"/>
      <c r="AK48" s="78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5">
        <v>26</v>
      </c>
      <c r="BC48" s="52"/>
      <c r="BD48" s="52">
        <v>93</v>
      </c>
      <c r="BE48" s="52">
        <v>231</v>
      </c>
      <c r="BF48" s="52">
        <v>350</v>
      </c>
      <c r="BG48" s="52">
        <v>50</v>
      </c>
      <c r="BH48" s="52">
        <v>230</v>
      </c>
      <c r="BI48" s="52"/>
      <c r="BJ48" s="52"/>
      <c r="BK48" s="52"/>
      <c r="BL48" s="52">
        <v>156</v>
      </c>
      <c r="BM48" s="52">
        <v>43</v>
      </c>
      <c r="BN48" s="52">
        <v>90</v>
      </c>
      <c r="BO48" s="52">
        <v>111</v>
      </c>
      <c r="BP48" s="56"/>
      <c r="BQ48" s="56"/>
      <c r="BR48" s="56">
        <v>151</v>
      </c>
      <c r="BS48" s="56">
        <v>7</v>
      </c>
      <c r="BT48" s="56">
        <v>39</v>
      </c>
      <c r="BU48" s="56"/>
      <c r="BV48" s="56"/>
      <c r="BW48" s="52"/>
      <c r="BX48" s="52"/>
      <c r="BY48" s="52"/>
      <c r="BZ48" s="52"/>
      <c r="CA48" s="52"/>
      <c r="CB48" s="52"/>
      <c r="CC48" s="52"/>
      <c r="CD48" s="52"/>
      <c r="CE48" s="52">
        <v>25</v>
      </c>
      <c r="CF48" s="52"/>
      <c r="CG48" s="146"/>
    </row>
    <row r="49" spans="1:85">
      <c r="A49" s="52" t="s">
        <v>124</v>
      </c>
      <c r="B49" s="53" t="s">
        <v>117</v>
      </c>
      <c r="C49" s="53"/>
      <c r="D49" s="54">
        <v>297</v>
      </c>
      <c r="E49" s="54" t="s">
        <v>50</v>
      </c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>
        <v>140</v>
      </c>
      <c r="V49" s="54">
        <v>74</v>
      </c>
      <c r="W49" s="54">
        <v>38</v>
      </c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5"/>
      <c r="AI49" s="54"/>
      <c r="AJ49" s="54"/>
      <c r="AK49" s="78"/>
      <c r="AL49" s="54"/>
      <c r="AM49" s="54"/>
      <c r="AN49" s="54"/>
      <c r="AO49" s="54">
        <v>27</v>
      </c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5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6"/>
      <c r="BQ49" s="56"/>
      <c r="BR49" s="56"/>
      <c r="BS49" s="56"/>
      <c r="BT49" s="56"/>
      <c r="BU49" s="56"/>
      <c r="BV49" s="56"/>
      <c r="BW49" s="52"/>
      <c r="BX49" s="52">
        <v>4</v>
      </c>
      <c r="BY49" s="52"/>
      <c r="BZ49" s="52"/>
      <c r="CA49" s="52">
        <v>1</v>
      </c>
      <c r="CB49" s="52"/>
      <c r="CC49" s="52"/>
      <c r="CD49" s="52"/>
      <c r="CE49" s="52"/>
      <c r="CF49" s="52"/>
      <c r="CG49" s="146"/>
    </row>
    <row r="50" spans="1:85">
      <c r="A50" s="52" t="s">
        <v>124</v>
      </c>
      <c r="B50" s="53" t="s">
        <v>118</v>
      </c>
      <c r="C50" s="53"/>
      <c r="D50" s="54">
        <v>2427</v>
      </c>
      <c r="E50" s="54" t="s">
        <v>50</v>
      </c>
      <c r="F50" s="54"/>
      <c r="G50" s="54"/>
      <c r="H50" s="54"/>
      <c r="I50" s="54">
        <v>69</v>
      </c>
      <c r="J50" s="54">
        <v>46</v>
      </c>
      <c r="K50" s="54"/>
      <c r="L50" s="54"/>
      <c r="M50" s="54"/>
      <c r="N50" s="54">
        <v>20</v>
      </c>
      <c r="O50" s="54"/>
      <c r="P50" s="54"/>
      <c r="Q50" s="54"/>
      <c r="R50" s="54"/>
      <c r="S50" s="54"/>
      <c r="T50" s="54"/>
      <c r="U50" s="54"/>
      <c r="V50" s="54">
        <v>9</v>
      </c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5"/>
      <c r="AI50" s="54"/>
      <c r="AJ50" s="54"/>
      <c r="AK50" s="78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>
        <v>120</v>
      </c>
      <c r="BA50" s="54">
        <v>166</v>
      </c>
      <c r="BB50" s="55"/>
      <c r="BC50" s="52"/>
      <c r="BD50" s="52"/>
      <c r="BE50" s="52"/>
      <c r="BF50" s="52"/>
      <c r="BG50" s="52">
        <v>91</v>
      </c>
      <c r="BH50" s="52"/>
      <c r="BI50" s="52"/>
      <c r="BJ50" s="52">
        <v>95</v>
      </c>
      <c r="BK50" s="52">
        <v>111</v>
      </c>
      <c r="BL50" s="52"/>
      <c r="BM50" s="52">
        <v>5</v>
      </c>
      <c r="BN50" s="52"/>
      <c r="BO50" s="52"/>
      <c r="BP50" s="56"/>
      <c r="BQ50" s="56"/>
      <c r="BR50" s="56"/>
      <c r="BS50" s="56"/>
      <c r="BT50" s="56"/>
      <c r="BU50" s="56"/>
      <c r="BV50" s="56"/>
      <c r="BW50" s="52"/>
      <c r="BX50" s="52">
        <v>24</v>
      </c>
      <c r="BY50" s="52"/>
      <c r="BZ50" s="52"/>
      <c r="CA50" s="52">
        <v>30</v>
      </c>
      <c r="CB50" s="52">
        <v>8</v>
      </c>
      <c r="CC50" s="52"/>
      <c r="CD50" s="52"/>
      <c r="CE50" s="52"/>
      <c r="CF50" s="52"/>
      <c r="CG50" s="146"/>
    </row>
    <row r="51" spans="1:85">
      <c r="A51" s="52" t="s">
        <v>124</v>
      </c>
      <c r="B51" s="53" t="s">
        <v>41</v>
      </c>
      <c r="C51" s="53"/>
      <c r="D51" s="54">
        <v>600</v>
      </c>
      <c r="E51" s="54" t="s">
        <v>115</v>
      </c>
      <c r="F51" s="54">
        <v>11</v>
      </c>
      <c r="G51" s="54">
        <v>17</v>
      </c>
      <c r="H51" s="54">
        <v>15</v>
      </c>
      <c r="I51" s="54">
        <v>8</v>
      </c>
      <c r="J51" s="54">
        <v>10</v>
      </c>
      <c r="K51" s="54"/>
      <c r="L51" s="54"/>
      <c r="M51" s="54"/>
      <c r="N51" s="54"/>
      <c r="O51" s="54"/>
      <c r="P51" s="54"/>
      <c r="Q51" s="54"/>
      <c r="R51" s="54"/>
      <c r="S51" s="54"/>
      <c r="T51" s="54">
        <v>50</v>
      </c>
      <c r="U51" s="54">
        <v>40</v>
      </c>
      <c r="V51" s="54"/>
      <c r="W51" s="54"/>
      <c r="X51" s="54"/>
      <c r="Y51" s="54"/>
      <c r="Z51" s="54"/>
      <c r="AA51" s="54"/>
      <c r="AB51" s="54"/>
      <c r="AC51" s="54">
        <v>3</v>
      </c>
      <c r="AD51" s="54"/>
      <c r="AE51" s="54"/>
      <c r="AF51" s="54"/>
      <c r="AG51" s="54"/>
      <c r="AH51" s="55"/>
      <c r="AI51" s="54"/>
      <c r="AJ51" s="54"/>
      <c r="AK51" s="78">
        <v>60</v>
      </c>
      <c r="AL51" s="54">
        <v>68</v>
      </c>
      <c r="AM51" s="54"/>
      <c r="AN51" s="54"/>
      <c r="AO51" s="54"/>
      <c r="AP51" s="54"/>
      <c r="AQ51" s="54"/>
      <c r="AR51" s="54"/>
      <c r="AS51" s="54"/>
      <c r="AT51" s="54"/>
      <c r="AU51" s="54">
        <v>100</v>
      </c>
      <c r="AV51" s="54"/>
      <c r="AW51" s="54">
        <v>140</v>
      </c>
      <c r="AX51" s="54"/>
      <c r="AY51" s="54"/>
      <c r="AZ51" s="54"/>
      <c r="BA51" s="54"/>
      <c r="BB51" s="55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6"/>
      <c r="BQ51" s="56"/>
      <c r="BR51" s="56"/>
      <c r="BS51" s="56"/>
      <c r="BT51" s="56"/>
      <c r="BU51" s="56">
        <v>32</v>
      </c>
      <c r="BV51" s="56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146"/>
    </row>
    <row r="52" spans="1:85">
      <c r="A52" s="52" t="s">
        <v>124</v>
      </c>
      <c r="B52" s="107" t="s">
        <v>119</v>
      </c>
      <c r="C52" s="53"/>
      <c r="D52" s="54">
        <v>600</v>
      </c>
      <c r="E52" s="54" t="s">
        <v>115</v>
      </c>
      <c r="F52" s="54">
        <v>16</v>
      </c>
      <c r="G52" s="54">
        <v>10</v>
      </c>
      <c r="H52" s="54">
        <v>15</v>
      </c>
      <c r="I52" s="54">
        <v>11</v>
      </c>
      <c r="J52" s="54">
        <v>7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>
        <v>0</v>
      </c>
      <c r="AD52" s="54"/>
      <c r="AE52" s="54"/>
      <c r="AF52" s="54"/>
      <c r="AG52" s="54"/>
      <c r="AH52" s="55"/>
      <c r="AI52" s="54"/>
      <c r="AJ52" s="54"/>
      <c r="AK52" s="78"/>
      <c r="AL52" s="54"/>
      <c r="AM52" s="54"/>
      <c r="AN52" s="54"/>
      <c r="AO52" s="54"/>
      <c r="AP52" s="54">
        <v>50</v>
      </c>
      <c r="AQ52" s="54"/>
      <c r="AR52" s="54"/>
      <c r="AS52" s="54"/>
      <c r="AT52" s="54"/>
      <c r="AU52" s="54"/>
      <c r="AV52" s="54">
        <v>151</v>
      </c>
      <c r="AW52" s="56"/>
      <c r="AX52" s="54">
        <v>33</v>
      </c>
      <c r="AY52" s="54">
        <v>50</v>
      </c>
      <c r="AZ52" s="54">
        <v>81</v>
      </c>
      <c r="BA52" s="54">
        <v>35</v>
      </c>
      <c r="BB52" s="55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6"/>
      <c r="BQ52" s="56"/>
      <c r="BR52" s="56"/>
      <c r="BS52" s="56"/>
      <c r="BT52" s="56"/>
      <c r="BU52" s="56"/>
      <c r="BV52" s="56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146"/>
    </row>
    <row r="53" spans="1:85">
      <c r="A53" s="52" t="s">
        <v>124</v>
      </c>
      <c r="B53" s="53" t="s">
        <v>44</v>
      </c>
      <c r="C53" s="53"/>
      <c r="D53" s="54">
        <v>600</v>
      </c>
      <c r="E53" s="54" t="s">
        <v>115</v>
      </c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5"/>
      <c r="AI53" s="54"/>
      <c r="AJ53" s="54"/>
      <c r="AK53" s="78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6"/>
      <c r="AX53" s="54"/>
      <c r="AY53" s="54">
        <v>23</v>
      </c>
      <c r="AZ53" s="54"/>
      <c r="BA53" s="54"/>
      <c r="BB53" s="55"/>
      <c r="BC53" s="52"/>
      <c r="BD53" s="52">
        <v>60</v>
      </c>
      <c r="BE53" s="52">
        <v>52</v>
      </c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6"/>
      <c r="BQ53" s="56"/>
      <c r="BR53" s="56"/>
      <c r="BS53" s="56"/>
      <c r="BT53" s="56"/>
      <c r="BU53" s="56"/>
      <c r="BV53" s="56"/>
      <c r="BW53" s="52"/>
      <c r="BX53" s="52"/>
      <c r="BY53" s="52"/>
      <c r="BZ53" s="52"/>
      <c r="CA53" s="52">
        <v>78</v>
      </c>
      <c r="CB53" s="52">
        <v>72</v>
      </c>
      <c r="CC53" s="52">
        <v>60</v>
      </c>
      <c r="CD53" s="52">
        <v>55</v>
      </c>
      <c r="CE53" s="52"/>
      <c r="CF53" s="52">
        <v>50</v>
      </c>
      <c r="CG53" s="146"/>
    </row>
    <row r="54" spans="1:85">
      <c r="A54" s="52" t="s">
        <v>124</v>
      </c>
      <c r="B54" s="107" t="s">
        <v>120</v>
      </c>
      <c r="C54" s="53"/>
      <c r="D54" s="54">
        <v>600</v>
      </c>
      <c r="E54" s="54" t="s">
        <v>115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5"/>
      <c r="AI54" s="54"/>
      <c r="AJ54" s="54"/>
      <c r="AK54" s="78"/>
      <c r="AL54" s="54"/>
      <c r="AM54" s="54"/>
      <c r="AN54" s="54"/>
      <c r="AO54" s="54"/>
      <c r="AP54" s="54">
        <v>40</v>
      </c>
      <c r="AQ54" s="54"/>
      <c r="AR54" s="54">
        <v>60</v>
      </c>
      <c r="AS54" s="54"/>
      <c r="AT54" s="54"/>
      <c r="AU54" s="54"/>
      <c r="AV54" s="54"/>
      <c r="AW54" s="54">
        <v>48</v>
      </c>
      <c r="AX54" s="54">
        <v>52</v>
      </c>
      <c r="AY54" s="54">
        <v>113</v>
      </c>
      <c r="AZ54" s="54">
        <v>92</v>
      </c>
      <c r="BA54" s="54">
        <v>100</v>
      </c>
      <c r="BB54" s="55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6"/>
      <c r="BQ54" s="56"/>
      <c r="BR54" s="56"/>
      <c r="BS54" s="56"/>
      <c r="BT54" s="56"/>
      <c r="BU54" s="56"/>
      <c r="BV54" s="56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146"/>
    </row>
    <row r="55" spans="1:85">
      <c r="A55" s="52" t="s">
        <v>124</v>
      </c>
      <c r="B55" s="53" t="s">
        <v>47</v>
      </c>
      <c r="C55" s="53"/>
      <c r="D55" s="54">
        <f>320+320</f>
        <v>640</v>
      </c>
      <c r="E55" s="54" t="s">
        <v>115</v>
      </c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5"/>
      <c r="AI55" s="54"/>
      <c r="AJ55" s="54"/>
      <c r="AK55" s="78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5"/>
      <c r="BC55" s="52"/>
      <c r="BD55" s="52"/>
      <c r="BE55" s="52"/>
      <c r="BF55" s="52"/>
      <c r="BG55" s="52"/>
      <c r="BH55" s="52">
        <v>39</v>
      </c>
      <c r="BI55" s="52"/>
      <c r="BJ55" s="52">
        <v>29</v>
      </c>
      <c r="BK55" s="52">
        <v>30</v>
      </c>
      <c r="BL55" s="52"/>
      <c r="BM55" s="52">
        <v>75</v>
      </c>
      <c r="BN55" s="52">
        <v>57</v>
      </c>
      <c r="BO55" s="52"/>
      <c r="BP55" s="56"/>
      <c r="BQ55" s="56">
        <v>30</v>
      </c>
      <c r="BR55" s="56"/>
      <c r="BS55" s="56"/>
      <c r="BT55" s="56"/>
      <c r="BU55" s="56"/>
      <c r="BV55" s="56"/>
      <c r="BW55" s="52"/>
      <c r="BX55" s="52"/>
      <c r="BY55" s="52"/>
      <c r="BZ55" s="52"/>
      <c r="CA55" s="52"/>
      <c r="CB55" s="52"/>
      <c r="CC55" s="52"/>
      <c r="CD55" s="52"/>
      <c r="CE55" s="52">
        <v>60</v>
      </c>
      <c r="CF55" s="52"/>
      <c r="CG55" s="146"/>
    </row>
    <row r="56" spans="1:85">
      <c r="A56" s="52" t="s">
        <v>124</v>
      </c>
      <c r="B56" s="53" t="s">
        <v>29</v>
      </c>
      <c r="C56" s="53"/>
      <c r="D56" s="54">
        <v>0</v>
      </c>
      <c r="E56" s="54" t="s">
        <v>50</v>
      </c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5"/>
      <c r="AI56" s="54"/>
      <c r="AJ56" s="54"/>
      <c r="AK56" s="78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5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6"/>
      <c r="BQ56" s="56"/>
      <c r="BR56" s="56"/>
      <c r="BS56" s="56"/>
      <c r="BT56" s="56"/>
      <c r="BU56" s="56"/>
      <c r="BV56" s="56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146"/>
    </row>
    <row r="57" spans="1:85">
      <c r="A57" s="52" t="s">
        <v>124</v>
      </c>
      <c r="B57" s="53" t="s">
        <v>22</v>
      </c>
      <c r="C57" s="53"/>
      <c r="D57" s="54">
        <v>150</v>
      </c>
      <c r="E57" s="54" t="s">
        <v>50</v>
      </c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5"/>
      <c r="AI57" s="54"/>
      <c r="AJ57" s="54"/>
      <c r="AK57" s="78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5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6"/>
      <c r="BQ57" s="56"/>
      <c r="BR57" s="56"/>
      <c r="BS57" s="56"/>
      <c r="BT57" s="56"/>
      <c r="BU57" s="56"/>
      <c r="BV57" s="56"/>
      <c r="BW57" s="52"/>
      <c r="BX57" s="52"/>
      <c r="BY57" s="52"/>
      <c r="BZ57" s="52"/>
      <c r="CA57" s="52"/>
      <c r="CB57" s="52">
        <v>70</v>
      </c>
      <c r="CC57" s="52"/>
      <c r="CD57" s="52"/>
      <c r="CE57" s="52"/>
      <c r="CF57" s="52">
        <v>50</v>
      </c>
      <c r="CG57" s="146"/>
    </row>
    <row r="58" spans="1:85">
      <c r="A58" s="52" t="s">
        <v>124</v>
      </c>
      <c r="B58" s="53" t="s">
        <v>121</v>
      </c>
      <c r="C58" s="53"/>
      <c r="D58" s="54">
        <v>290</v>
      </c>
      <c r="E58" s="54" t="s">
        <v>50</v>
      </c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5"/>
      <c r="AI58" s="54"/>
      <c r="AJ58" s="54"/>
      <c r="AK58" s="78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108"/>
      <c r="BD58" s="108"/>
      <c r="BE58" s="108"/>
      <c r="BF58" s="108"/>
      <c r="BG58" s="108"/>
      <c r="BH58" s="108"/>
      <c r="BI58" s="108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108"/>
      <c r="BX58" s="108"/>
      <c r="BY58" s="108"/>
      <c r="BZ58" s="108">
        <v>100</v>
      </c>
      <c r="CA58" s="108">
        <v>35</v>
      </c>
      <c r="CB58" s="108"/>
      <c r="CC58" s="108">
        <v>50</v>
      </c>
      <c r="CD58" s="108"/>
      <c r="CE58" s="108"/>
      <c r="CF58" s="108"/>
      <c r="CG58" s="147">
        <v>35</v>
      </c>
    </row>
    <row r="59" spans="1:85">
      <c r="A59" s="19"/>
    </row>
  </sheetData>
  <autoFilter ref="A1:CG58" xr:uid="{655CA000-C1FA-4D5B-B6A9-81827BA5BB47}">
    <sortState xmlns:xlrd2="http://schemas.microsoft.com/office/spreadsheetml/2017/richdata2" ref="A2:CG58">
      <sortCondition ref="A1:A5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8B65-2FE4-4490-934A-6DB8D3B6EF81}">
  <dimension ref="A1:CS81"/>
  <sheetViews>
    <sheetView topLeftCell="A50" workbookViewId="0">
      <pane xSplit="5" topLeftCell="CG62" activePane="topRight" state="frozen"/>
      <selection pane="topRight" activeCell="CO75" sqref="CO75"/>
      <selection activeCell="A3" sqref="A3"/>
    </sheetView>
  </sheetViews>
  <sheetFormatPr defaultColWidth="8.85546875" defaultRowHeight="15" outlineLevelCol="1"/>
  <cols>
    <col min="1" max="1" width="6.7109375" style="1" customWidth="1"/>
    <col min="2" max="2" width="17.42578125" customWidth="1"/>
    <col min="3" max="3" width="13.28515625" customWidth="1"/>
    <col min="4" max="4" width="17.140625" customWidth="1"/>
    <col min="5" max="5" width="8.85546875" style="135" customWidth="1"/>
    <col min="6" max="6" width="13.140625" customWidth="1"/>
    <col min="7" max="11" width="8.85546875" customWidth="1" outlineLevel="1"/>
    <col min="12" max="12" width="10.42578125" customWidth="1" outlineLevel="1"/>
    <col min="13" max="29" width="8.85546875" customWidth="1" outlineLevel="1"/>
    <col min="30" max="30" width="8.7109375" customWidth="1" outlineLevel="1"/>
    <col min="31" max="31" width="7.42578125" customWidth="1" outlineLevel="1"/>
    <col min="32" max="32" width="7.85546875" customWidth="1" outlineLevel="1"/>
    <col min="33" max="33" width="8" customWidth="1" outlineLevel="1"/>
    <col min="34" max="34" width="8.85546875" customWidth="1" outlineLevel="1"/>
    <col min="35" max="35" width="11.140625" customWidth="1" outlineLevel="1"/>
    <col min="36" max="36" width="8.85546875" customWidth="1" outlineLevel="1"/>
    <col min="37" max="38" width="9.140625" bestFit="1" customWidth="1"/>
    <col min="65" max="65" width="13.140625" customWidth="1"/>
    <col min="98" max="16384" width="8.85546875" style="144"/>
  </cols>
  <sheetData>
    <row r="1" spans="1:72" ht="30.75">
      <c r="A1" s="19" t="s">
        <v>125</v>
      </c>
      <c r="B1" s="164" t="s">
        <v>126</v>
      </c>
      <c r="C1" s="164" t="s">
        <v>4</v>
      </c>
      <c r="D1" s="160" t="s">
        <v>30</v>
      </c>
      <c r="E1" s="160" t="s">
        <v>127</v>
      </c>
      <c r="F1" s="161" t="s">
        <v>128</v>
      </c>
      <c r="G1" s="162" t="s">
        <v>129</v>
      </c>
      <c r="H1" s="162" t="s">
        <v>130</v>
      </c>
      <c r="I1" s="162" t="s">
        <v>131</v>
      </c>
      <c r="J1" s="162" t="s">
        <v>132</v>
      </c>
      <c r="K1" s="168" t="s">
        <v>133</v>
      </c>
      <c r="L1" s="219" t="s">
        <v>134</v>
      </c>
      <c r="M1" s="144"/>
      <c r="N1" s="144"/>
      <c r="O1" s="144"/>
      <c r="P1" s="144"/>
      <c r="Q1" s="144"/>
      <c r="R1" s="144"/>
      <c r="S1" s="144"/>
      <c r="T1" s="144"/>
      <c r="U1" s="144"/>
      <c r="V1" s="144"/>
      <c r="AK1" s="165" t="s">
        <v>114</v>
      </c>
      <c r="AL1" s="166" t="s">
        <v>135</v>
      </c>
      <c r="AM1" s="166" t="s">
        <v>136</v>
      </c>
      <c r="AN1" s="166" t="s">
        <v>137</v>
      </c>
      <c r="AO1" s="166" t="s">
        <v>138</v>
      </c>
      <c r="BM1" s="144"/>
      <c r="BN1" s="144"/>
      <c r="BO1" s="165" t="s">
        <v>139</v>
      </c>
      <c r="BP1" s="166" t="s">
        <v>140</v>
      </c>
      <c r="BQ1" s="180" t="s">
        <v>141</v>
      </c>
      <c r="BR1" s="166" t="s">
        <v>142</v>
      </c>
      <c r="BS1" s="166" t="s">
        <v>143</v>
      </c>
      <c r="BT1" s="166" t="s">
        <v>144</v>
      </c>
    </row>
    <row r="2" spans="1:72">
      <c r="A2" s="19">
        <v>1</v>
      </c>
      <c r="B2" s="91" t="s">
        <v>84</v>
      </c>
      <c r="C2" s="90" t="s">
        <v>33</v>
      </c>
      <c r="D2" s="58">
        <f>F2+AK2+BO2</f>
        <v>200</v>
      </c>
      <c r="E2" s="149"/>
      <c r="F2" s="163">
        <f t="shared" ref="F2:F17" si="0">SUM(G2:K2)</f>
        <v>0</v>
      </c>
      <c r="G2" s="94"/>
      <c r="H2" s="94"/>
      <c r="I2" s="94"/>
      <c r="J2" s="94"/>
      <c r="K2" s="124"/>
      <c r="L2" s="120"/>
      <c r="M2" s="144"/>
      <c r="N2" s="144"/>
      <c r="O2" s="144"/>
      <c r="P2" s="144"/>
      <c r="Q2" s="144"/>
      <c r="R2" s="144"/>
      <c r="S2" s="144"/>
      <c r="T2" s="144"/>
      <c r="U2" s="144"/>
      <c r="V2" s="144"/>
      <c r="AI2" s="177"/>
      <c r="AK2" s="167">
        <f t="shared" ref="AK2:AK17" si="1">SUM(AL2:AO2)</f>
        <v>0</v>
      </c>
      <c r="AL2" s="93"/>
      <c r="AM2" s="93"/>
      <c r="AN2" s="93"/>
      <c r="AO2" s="93"/>
      <c r="BM2" s="177"/>
      <c r="BN2" s="58"/>
      <c r="BO2" s="167">
        <f t="shared" ref="BO2:BO14" si="2">SUM(BP2:BT2)</f>
        <v>200</v>
      </c>
      <c r="BP2" s="93"/>
      <c r="BQ2" s="181">
        <v>200</v>
      </c>
      <c r="BR2" s="93"/>
      <c r="BS2" s="93"/>
      <c r="BT2" s="93"/>
    </row>
    <row r="3" spans="1:72">
      <c r="A3" s="19">
        <v>2</v>
      </c>
      <c r="B3" s="91" t="s">
        <v>34</v>
      </c>
      <c r="C3" s="90" t="s">
        <v>33</v>
      </c>
      <c r="D3" s="58">
        <f>F3+AK3+BO3</f>
        <v>200</v>
      </c>
      <c r="E3" s="149"/>
      <c r="F3" s="163">
        <f t="shared" si="0"/>
        <v>0</v>
      </c>
      <c r="G3" s="94"/>
      <c r="H3" s="94"/>
      <c r="I3" s="94"/>
      <c r="J3" s="94"/>
      <c r="K3" s="124"/>
      <c r="L3" s="120"/>
      <c r="M3" s="144"/>
      <c r="N3" s="144"/>
      <c r="O3" s="144"/>
      <c r="P3" s="144"/>
      <c r="Q3" s="144"/>
      <c r="R3" s="144"/>
      <c r="S3" s="144"/>
      <c r="T3" s="144"/>
      <c r="U3" s="144"/>
      <c r="V3" s="144"/>
      <c r="AI3" s="97"/>
      <c r="AK3" s="167">
        <f t="shared" si="1"/>
        <v>0</v>
      </c>
      <c r="AL3" s="93"/>
      <c r="AM3" s="93"/>
      <c r="AN3" s="93"/>
      <c r="AO3" s="93"/>
      <c r="BM3" s="177"/>
      <c r="BN3" s="58"/>
      <c r="BO3" s="167">
        <f t="shared" si="2"/>
        <v>200</v>
      </c>
      <c r="BP3" s="93"/>
      <c r="BQ3" s="181">
        <v>200</v>
      </c>
      <c r="BR3" s="93"/>
      <c r="BS3" s="93"/>
      <c r="BT3" s="93"/>
    </row>
    <row r="4" spans="1:72">
      <c r="A4" s="19">
        <v>3</v>
      </c>
      <c r="B4" s="91" t="s">
        <v>36</v>
      </c>
      <c r="C4" s="90" t="s">
        <v>33</v>
      </c>
      <c r="D4" s="58">
        <f>F4+AK4+BO4</f>
        <v>600</v>
      </c>
      <c r="E4" s="149"/>
      <c r="F4" s="163">
        <f t="shared" si="0"/>
        <v>200</v>
      </c>
      <c r="G4" s="94"/>
      <c r="H4" s="94"/>
      <c r="I4" s="94">
        <v>200</v>
      </c>
      <c r="J4" s="94"/>
      <c r="K4" s="124"/>
      <c r="L4" s="120">
        <v>20</v>
      </c>
      <c r="M4" s="144"/>
      <c r="N4" s="144"/>
      <c r="O4" s="144"/>
      <c r="P4" s="144"/>
      <c r="Q4" s="144"/>
      <c r="R4" s="144"/>
      <c r="S4" s="144"/>
      <c r="T4" s="144"/>
      <c r="U4" s="144"/>
      <c r="V4" s="144"/>
      <c r="AI4" s="177"/>
      <c r="AK4" s="167">
        <f t="shared" si="1"/>
        <v>200</v>
      </c>
      <c r="AL4" s="93">
        <v>200</v>
      </c>
      <c r="AM4" s="93"/>
      <c r="AN4" s="93"/>
      <c r="AO4" s="93"/>
      <c r="BM4" s="177"/>
      <c r="BN4" s="58"/>
      <c r="BO4" s="167">
        <f t="shared" si="2"/>
        <v>200</v>
      </c>
      <c r="BP4" s="93">
        <v>200</v>
      </c>
      <c r="BQ4" s="181"/>
      <c r="BR4" s="93"/>
      <c r="BS4" s="93"/>
      <c r="BT4" s="93"/>
    </row>
    <row r="5" spans="1:72">
      <c r="A5" s="19">
        <v>4</v>
      </c>
      <c r="B5" s="91" t="s">
        <v>37</v>
      </c>
      <c r="C5" s="90" t="s">
        <v>33</v>
      </c>
      <c r="D5" s="58">
        <f>F5+AK5+BO5</f>
        <v>550</v>
      </c>
      <c r="E5" s="149"/>
      <c r="F5" s="163">
        <f t="shared" si="0"/>
        <v>200</v>
      </c>
      <c r="G5" s="94"/>
      <c r="H5" s="94"/>
      <c r="I5" s="94">
        <v>200</v>
      </c>
      <c r="J5" s="94"/>
      <c r="K5" s="124"/>
      <c r="L5" s="120">
        <v>100</v>
      </c>
      <c r="M5" s="144"/>
      <c r="N5" s="144"/>
      <c r="O5" s="144"/>
      <c r="P5" s="144"/>
      <c r="Q5" s="144"/>
      <c r="R5" s="144"/>
      <c r="S5" s="144"/>
      <c r="T5" s="144"/>
      <c r="U5" s="144"/>
      <c r="V5" s="144"/>
      <c r="AI5" s="177"/>
      <c r="AK5" s="167">
        <f t="shared" si="1"/>
        <v>200</v>
      </c>
      <c r="AL5" s="93"/>
      <c r="AM5" s="93">
        <v>200</v>
      </c>
      <c r="AN5" s="93"/>
      <c r="AO5" s="93"/>
      <c r="BM5" s="177"/>
      <c r="BN5" s="58"/>
      <c r="BO5" s="167">
        <f t="shared" si="2"/>
        <v>150</v>
      </c>
      <c r="BP5" s="93"/>
      <c r="BQ5" s="181">
        <v>150</v>
      </c>
      <c r="BR5" s="93"/>
      <c r="BS5" s="93"/>
      <c r="BT5" s="93"/>
    </row>
    <row r="6" spans="1:72">
      <c r="A6" s="19">
        <v>5</v>
      </c>
      <c r="B6" s="91" t="s">
        <v>39</v>
      </c>
      <c r="C6" s="90" t="s">
        <v>33</v>
      </c>
      <c r="D6" s="58">
        <f>F6+AK6+BO6</f>
        <v>4000</v>
      </c>
      <c r="E6" s="149"/>
      <c r="F6" s="163">
        <f t="shared" si="0"/>
        <v>0</v>
      </c>
      <c r="G6" s="94"/>
      <c r="H6" s="94"/>
      <c r="I6" s="94"/>
      <c r="J6" s="94"/>
      <c r="K6" s="124"/>
      <c r="L6" s="120"/>
      <c r="M6" s="144"/>
      <c r="N6" s="144"/>
      <c r="O6" s="144"/>
      <c r="P6" s="144"/>
      <c r="Q6" s="144"/>
      <c r="R6" s="144"/>
      <c r="S6" s="144"/>
      <c r="T6" s="144"/>
      <c r="U6" s="144"/>
      <c r="V6" s="144"/>
      <c r="AI6" s="97"/>
      <c r="AK6" s="167">
        <f t="shared" si="1"/>
        <v>4000</v>
      </c>
      <c r="AL6" s="94">
        <v>1000</v>
      </c>
      <c r="AM6" s="94">
        <v>1000</v>
      </c>
      <c r="AN6" s="94">
        <v>1000</v>
      </c>
      <c r="AO6" s="94">
        <v>1000</v>
      </c>
      <c r="BM6" s="177"/>
      <c r="BN6" s="120"/>
      <c r="BO6" s="167">
        <f t="shared" si="2"/>
        <v>0</v>
      </c>
      <c r="BP6" s="94"/>
      <c r="BQ6" s="182"/>
      <c r="BR6" s="94"/>
      <c r="BS6" s="94"/>
      <c r="BT6" s="94"/>
    </row>
    <row r="7" spans="1:72">
      <c r="A7" s="19">
        <v>6</v>
      </c>
      <c r="B7" s="91" t="s">
        <v>41</v>
      </c>
      <c r="C7" s="90" t="s">
        <v>33</v>
      </c>
      <c r="D7" s="58">
        <f>F7+AK7+BO7</f>
        <v>250</v>
      </c>
      <c r="E7" s="149"/>
      <c r="F7" s="163">
        <f t="shared" si="0"/>
        <v>0</v>
      </c>
      <c r="G7" s="94"/>
      <c r="H7" s="94"/>
      <c r="I7" s="94"/>
      <c r="J7" s="94"/>
      <c r="K7" s="124"/>
      <c r="L7" s="120"/>
      <c r="M7" s="144"/>
      <c r="N7" s="144"/>
      <c r="O7" s="144"/>
      <c r="P7" s="144"/>
      <c r="Q7" s="144"/>
      <c r="R7" s="144"/>
      <c r="S7" s="144"/>
      <c r="T7" s="144"/>
      <c r="U7" s="144"/>
      <c r="V7" s="144"/>
      <c r="AI7" s="178"/>
      <c r="AK7" s="167">
        <f t="shared" si="1"/>
        <v>0</v>
      </c>
      <c r="AL7" s="93"/>
      <c r="AM7" s="93"/>
      <c r="AN7" s="93"/>
      <c r="AO7" s="93"/>
      <c r="BM7" s="177"/>
      <c r="BN7" s="58"/>
      <c r="BO7" s="167">
        <f t="shared" si="2"/>
        <v>250</v>
      </c>
      <c r="BP7" s="93"/>
      <c r="BQ7" s="181"/>
      <c r="BR7" s="93">
        <v>150</v>
      </c>
      <c r="BS7" s="93"/>
      <c r="BT7" s="93">
        <v>100</v>
      </c>
    </row>
    <row r="8" spans="1:72">
      <c r="A8" s="19">
        <v>7</v>
      </c>
      <c r="B8" s="91" t="s">
        <v>42</v>
      </c>
      <c r="C8" s="90" t="s">
        <v>33</v>
      </c>
      <c r="D8" s="58">
        <f>F8+AK8+BO8</f>
        <v>250</v>
      </c>
      <c r="E8" s="149"/>
      <c r="F8" s="163">
        <f t="shared" si="0"/>
        <v>0</v>
      </c>
      <c r="G8" s="94"/>
      <c r="H8" s="94"/>
      <c r="I8" s="94"/>
      <c r="J8" s="94"/>
      <c r="K8" s="124"/>
      <c r="L8" s="120"/>
      <c r="M8" s="144"/>
      <c r="N8" s="144"/>
      <c r="O8" s="144"/>
      <c r="P8" s="144"/>
      <c r="Q8" s="144"/>
      <c r="R8" s="144"/>
      <c r="S8" s="144"/>
      <c r="T8" s="144"/>
      <c r="U8" s="144"/>
      <c r="V8" s="144"/>
      <c r="AI8" s="177"/>
      <c r="AK8" s="167">
        <f t="shared" si="1"/>
        <v>0</v>
      </c>
      <c r="AL8" s="93"/>
      <c r="AM8" s="93"/>
      <c r="AN8" s="93" t="s">
        <v>145</v>
      </c>
      <c r="AO8" s="93"/>
      <c r="BM8" s="177"/>
      <c r="BN8" s="58"/>
      <c r="BO8" s="167">
        <f t="shared" si="2"/>
        <v>250</v>
      </c>
      <c r="BP8" s="93"/>
      <c r="BQ8" s="181"/>
      <c r="BR8" s="93">
        <v>150</v>
      </c>
      <c r="BS8" s="93"/>
      <c r="BT8" s="93">
        <v>100</v>
      </c>
    </row>
    <row r="9" spans="1:72">
      <c r="A9" s="19">
        <v>8</v>
      </c>
      <c r="B9" s="91" t="s">
        <v>44</v>
      </c>
      <c r="C9" s="90" t="s">
        <v>33</v>
      </c>
      <c r="D9" s="58">
        <f>F9+AK9+BO9</f>
        <v>0</v>
      </c>
      <c r="E9" s="149"/>
      <c r="F9" s="163">
        <f t="shared" si="0"/>
        <v>0</v>
      </c>
      <c r="G9" s="94"/>
      <c r="H9" s="94"/>
      <c r="I9" s="94"/>
      <c r="J9" s="94"/>
      <c r="K9" s="124"/>
      <c r="L9" s="120"/>
      <c r="M9" s="144"/>
      <c r="N9" s="144"/>
      <c r="O9" s="144"/>
      <c r="P9" s="144"/>
      <c r="Q9" s="144"/>
      <c r="R9" s="144"/>
      <c r="S9" s="144"/>
      <c r="T9" s="144"/>
      <c r="U9" s="144"/>
      <c r="V9" s="144"/>
      <c r="AI9" s="177"/>
      <c r="AK9" s="167">
        <f t="shared" si="1"/>
        <v>0</v>
      </c>
      <c r="AL9" s="93"/>
      <c r="AM9" s="93"/>
      <c r="AN9" s="93"/>
      <c r="AO9" s="93"/>
      <c r="BM9" s="177"/>
      <c r="BN9" s="58"/>
      <c r="BO9" s="167">
        <f t="shared" si="2"/>
        <v>0</v>
      </c>
      <c r="BP9" s="93"/>
      <c r="BQ9" s="181"/>
      <c r="BR9" s="93"/>
      <c r="BS9" s="93"/>
      <c r="BT9" s="93"/>
    </row>
    <row r="10" spans="1:72">
      <c r="A10" s="19">
        <v>9</v>
      </c>
      <c r="B10" s="91" t="s">
        <v>45</v>
      </c>
      <c r="C10" s="90" t="s">
        <v>33</v>
      </c>
      <c r="D10" s="58">
        <f>F10+AK10+BO10</f>
        <v>0</v>
      </c>
      <c r="E10" s="149"/>
      <c r="F10" s="163">
        <f t="shared" si="0"/>
        <v>0</v>
      </c>
      <c r="G10" s="94"/>
      <c r="H10" s="94"/>
      <c r="I10" s="94"/>
      <c r="J10" s="94"/>
      <c r="K10" s="124"/>
      <c r="L10" s="120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AI10" s="177"/>
      <c r="AK10" s="167">
        <f t="shared" si="1"/>
        <v>0</v>
      </c>
      <c r="AL10" s="93"/>
      <c r="AM10" s="93"/>
      <c r="AN10" s="93"/>
      <c r="AO10" s="93"/>
      <c r="BM10" s="177"/>
      <c r="BN10" s="58"/>
      <c r="BO10" s="167">
        <f t="shared" si="2"/>
        <v>0</v>
      </c>
      <c r="BP10" s="93"/>
      <c r="BQ10" s="181"/>
      <c r="BR10" s="93"/>
      <c r="BS10" s="93"/>
      <c r="BT10" s="93"/>
    </row>
    <row r="11" spans="1:72">
      <c r="A11" s="19">
        <v>10</v>
      </c>
      <c r="B11" s="91" t="s">
        <v>47</v>
      </c>
      <c r="C11" s="90" t="s">
        <v>33</v>
      </c>
      <c r="D11" s="58">
        <f>F11+AK11+BO11</f>
        <v>324</v>
      </c>
      <c r="E11" s="149"/>
      <c r="F11" s="163">
        <f t="shared" si="0"/>
        <v>324</v>
      </c>
      <c r="G11" s="94"/>
      <c r="H11" s="94"/>
      <c r="I11" s="94">
        <v>324</v>
      </c>
      <c r="J11" s="94"/>
      <c r="K11" s="124"/>
      <c r="L11" s="120">
        <v>324</v>
      </c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AI11" s="177"/>
      <c r="AK11" s="167">
        <f t="shared" si="1"/>
        <v>0</v>
      </c>
      <c r="AL11" s="93"/>
      <c r="AM11" s="93"/>
      <c r="AN11" s="93"/>
      <c r="AO11" s="93"/>
      <c r="BM11" s="177"/>
      <c r="BN11" s="58"/>
      <c r="BO11" s="167">
        <f t="shared" si="2"/>
        <v>0</v>
      </c>
      <c r="BP11" s="93"/>
      <c r="BQ11" s="181"/>
      <c r="BR11" s="93"/>
      <c r="BS11" s="93"/>
      <c r="BT11" s="93"/>
    </row>
    <row r="12" spans="1:72">
      <c r="A12" s="19">
        <v>11</v>
      </c>
      <c r="B12" s="91" t="s">
        <v>49</v>
      </c>
      <c r="C12" s="90" t="s">
        <v>50</v>
      </c>
      <c r="D12" s="58">
        <f>F12+AK12+BO12</f>
        <v>800</v>
      </c>
      <c r="E12" s="149"/>
      <c r="F12" s="163">
        <f t="shared" si="0"/>
        <v>300</v>
      </c>
      <c r="G12" s="94"/>
      <c r="H12" s="94">
        <v>300</v>
      </c>
      <c r="I12" s="94"/>
      <c r="J12" s="94"/>
      <c r="K12" s="124"/>
      <c r="L12" s="120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AI12" s="177"/>
      <c r="AK12" s="167">
        <f t="shared" si="1"/>
        <v>300</v>
      </c>
      <c r="AL12" s="93">
        <v>300</v>
      </c>
      <c r="AM12" s="93"/>
      <c r="AN12" s="93"/>
      <c r="AO12" s="93"/>
      <c r="BM12" s="177"/>
      <c r="BN12" s="58"/>
      <c r="BO12" s="167">
        <f t="shared" si="2"/>
        <v>200</v>
      </c>
      <c r="BP12" s="93">
        <v>200</v>
      </c>
      <c r="BQ12" s="181"/>
      <c r="BR12" s="93"/>
      <c r="BS12" s="93"/>
      <c r="BT12" s="93"/>
    </row>
    <row r="13" spans="1:72">
      <c r="A13" s="19">
        <v>12</v>
      </c>
      <c r="B13" s="91" t="s">
        <v>51</v>
      </c>
      <c r="C13" s="90" t="s">
        <v>50</v>
      </c>
      <c r="D13" s="58">
        <f>F13+AK13+BO13</f>
        <v>1600</v>
      </c>
      <c r="E13" s="149"/>
      <c r="F13" s="163">
        <f t="shared" si="0"/>
        <v>600</v>
      </c>
      <c r="G13" s="94"/>
      <c r="H13" s="94"/>
      <c r="I13" s="94">
        <v>600</v>
      </c>
      <c r="J13" s="94"/>
      <c r="K13" s="124"/>
      <c r="L13" s="120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AI13" s="178"/>
      <c r="AK13" s="167">
        <f t="shared" si="1"/>
        <v>500</v>
      </c>
      <c r="AL13" s="93">
        <v>500</v>
      </c>
      <c r="AM13" s="93"/>
      <c r="AN13" s="93"/>
      <c r="AO13" s="93"/>
      <c r="BM13" s="177"/>
      <c r="BN13" s="58"/>
      <c r="BO13" s="167">
        <f t="shared" si="2"/>
        <v>500</v>
      </c>
      <c r="BP13" s="93">
        <v>500</v>
      </c>
      <c r="BQ13" s="181"/>
      <c r="BR13" s="93"/>
      <c r="BS13" s="93"/>
      <c r="BT13" s="93"/>
    </row>
    <row r="14" spans="1:72">
      <c r="A14" s="19">
        <v>13</v>
      </c>
      <c r="B14" s="105" t="s">
        <v>53</v>
      </c>
      <c r="C14" s="90" t="s">
        <v>50</v>
      </c>
      <c r="D14" s="58">
        <v>1255</v>
      </c>
      <c r="E14" s="149"/>
      <c r="F14" s="163">
        <f t="shared" si="0"/>
        <v>0</v>
      </c>
      <c r="G14" s="94"/>
      <c r="H14" s="94"/>
      <c r="I14" s="94"/>
      <c r="J14" s="94"/>
      <c r="K14" s="124"/>
      <c r="L14" s="120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AI14" s="177"/>
      <c r="AK14" s="167">
        <f t="shared" si="1"/>
        <v>700</v>
      </c>
      <c r="AL14" s="93"/>
      <c r="AM14" s="93">
        <v>400</v>
      </c>
      <c r="AN14" s="93">
        <v>300</v>
      </c>
      <c r="AO14" s="93"/>
      <c r="BM14" s="177"/>
      <c r="BN14" s="58"/>
      <c r="BO14" s="167">
        <f t="shared" si="2"/>
        <v>700</v>
      </c>
      <c r="BP14" s="93"/>
      <c r="BQ14" s="181">
        <v>400</v>
      </c>
      <c r="BR14" s="93">
        <v>300</v>
      </c>
      <c r="BS14" s="93"/>
      <c r="BT14" s="93"/>
    </row>
    <row r="15" spans="1:72">
      <c r="A15" s="19">
        <v>14</v>
      </c>
      <c r="B15" s="91" t="s">
        <v>29</v>
      </c>
      <c r="C15" s="90" t="s">
        <v>50</v>
      </c>
      <c r="D15" s="58">
        <f>F15+AK15+BO15</f>
        <v>350</v>
      </c>
      <c r="E15" s="149"/>
      <c r="F15" s="163">
        <f t="shared" si="0"/>
        <v>0</v>
      </c>
      <c r="G15" s="94"/>
      <c r="H15" s="94"/>
      <c r="I15" s="94"/>
      <c r="J15" s="94"/>
      <c r="K15" s="124"/>
      <c r="L15" s="120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AI15" s="97"/>
      <c r="AK15" s="167">
        <f t="shared" si="1"/>
        <v>0</v>
      </c>
      <c r="AL15" s="93"/>
      <c r="AM15" s="93"/>
      <c r="AN15" s="93"/>
      <c r="AO15" s="93"/>
      <c r="BM15" s="177"/>
      <c r="BN15" s="82"/>
      <c r="BO15" s="167">
        <v>350</v>
      </c>
      <c r="BP15" s="93"/>
      <c r="BQ15" s="181"/>
      <c r="BR15" s="93"/>
      <c r="BS15" s="93"/>
      <c r="BT15" s="93"/>
    </row>
    <row r="16" spans="1:72">
      <c r="A16" s="19">
        <v>15</v>
      </c>
      <c r="B16" s="91" t="s">
        <v>22</v>
      </c>
      <c r="C16" s="90" t="s">
        <v>50</v>
      </c>
      <c r="D16" s="58">
        <f>F16+AK16+BO16</f>
        <v>550</v>
      </c>
      <c r="E16" s="149"/>
      <c r="F16" s="163">
        <f t="shared" si="0"/>
        <v>0</v>
      </c>
      <c r="G16" s="94"/>
      <c r="H16" s="94"/>
      <c r="I16" s="94"/>
      <c r="J16" s="94"/>
      <c r="K16" s="124"/>
      <c r="L16" s="120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AI16" s="97"/>
      <c r="AK16" s="167">
        <f t="shared" si="1"/>
        <v>0</v>
      </c>
      <c r="AL16" s="93"/>
      <c r="AM16" s="93"/>
      <c r="AN16" s="93"/>
      <c r="AO16" s="93"/>
      <c r="BM16" s="177"/>
      <c r="BN16" s="82"/>
      <c r="BO16" s="167">
        <v>550</v>
      </c>
      <c r="BP16" s="93"/>
      <c r="BQ16" s="181"/>
      <c r="BR16" s="93"/>
      <c r="BS16" s="93"/>
      <c r="BT16" s="93"/>
    </row>
    <row r="17" spans="1:97">
      <c r="A17" s="19">
        <v>16</v>
      </c>
      <c r="B17" s="91" t="s">
        <v>146</v>
      </c>
      <c r="C17" s="90" t="s">
        <v>50</v>
      </c>
      <c r="D17" s="58">
        <f>F17+AK17+BO17</f>
        <v>0</v>
      </c>
      <c r="E17" s="149"/>
      <c r="F17" s="163">
        <f t="shared" si="0"/>
        <v>0</v>
      </c>
      <c r="G17" s="94"/>
      <c r="H17" s="94"/>
      <c r="I17" s="94"/>
      <c r="J17" s="94"/>
      <c r="K17" s="124"/>
      <c r="L17" s="120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AI17" s="97"/>
      <c r="AK17" s="167">
        <f t="shared" si="1"/>
        <v>0</v>
      </c>
      <c r="AL17" s="93"/>
      <c r="AM17" s="93"/>
      <c r="AN17" s="93"/>
      <c r="AO17" s="93"/>
      <c r="BM17" s="177"/>
      <c r="BN17" s="58"/>
      <c r="BO17" s="167">
        <f>SUM(BP17:BT17)</f>
        <v>0</v>
      </c>
      <c r="BP17" s="93"/>
      <c r="BQ17" s="181"/>
      <c r="BR17" s="93"/>
      <c r="BS17" s="93"/>
      <c r="BT17" s="93"/>
    </row>
    <row r="18" spans="1:97">
      <c r="A18" s="19">
        <v>17</v>
      </c>
      <c r="B18" s="91" t="s">
        <v>72</v>
      </c>
      <c r="C18" s="90" t="s">
        <v>50</v>
      </c>
      <c r="D18" s="58">
        <f>F18+AK18+BO18</f>
        <v>250</v>
      </c>
      <c r="E18" s="149"/>
      <c r="F18" s="163">
        <f t="shared" ref="F18:F19" si="3">SUM(G18:K18)</f>
        <v>250</v>
      </c>
      <c r="G18" s="94"/>
      <c r="H18" s="94">
        <v>250</v>
      </c>
      <c r="I18" s="94"/>
      <c r="J18" s="94"/>
      <c r="K18" s="124"/>
      <c r="L18" s="120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AI18" s="97"/>
      <c r="AK18" s="167">
        <f t="shared" ref="AK18:AK19" si="4">SUM(AL18:AO18)</f>
        <v>0</v>
      </c>
      <c r="AL18" s="93"/>
      <c r="AM18" s="93"/>
      <c r="AN18" s="93"/>
      <c r="AO18" s="93"/>
      <c r="BM18" s="177"/>
      <c r="BN18" s="58"/>
      <c r="BO18" s="167">
        <f t="shared" ref="BO18:BO19" si="5">SUM(BP18:BT18)</f>
        <v>0</v>
      </c>
      <c r="BP18" s="93">
        <v>0</v>
      </c>
      <c r="BQ18" s="181"/>
      <c r="BR18" s="93"/>
      <c r="BS18" s="93"/>
      <c r="BT18" s="93"/>
    </row>
    <row r="19" spans="1:97">
      <c r="A19" s="19">
        <v>18</v>
      </c>
      <c r="B19" s="91" t="s">
        <v>61</v>
      </c>
      <c r="C19" s="90" t="s">
        <v>50</v>
      </c>
      <c r="D19" s="58">
        <f>F19+AK19+BO19</f>
        <v>250</v>
      </c>
      <c r="E19" s="149"/>
      <c r="F19" s="163">
        <f t="shared" si="3"/>
        <v>250</v>
      </c>
      <c r="G19" s="94"/>
      <c r="H19" s="94">
        <v>250</v>
      </c>
      <c r="I19" s="94"/>
      <c r="J19" s="94"/>
      <c r="K19" s="124"/>
      <c r="L19" s="120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AI19" s="97"/>
      <c r="AK19" s="167">
        <f t="shared" si="4"/>
        <v>0</v>
      </c>
      <c r="AL19" s="93"/>
      <c r="AM19" s="93"/>
      <c r="AN19" s="93"/>
      <c r="AO19" s="93"/>
      <c r="BM19" s="177"/>
      <c r="BN19" s="58"/>
      <c r="BO19" s="167">
        <f t="shared" si="5"/>
        <v>0</v>
      </c>
      <c r="BP19" s="93">
        <v>0</v>
      </c>
      <c r="BQ19" s="181"/>
      <c r="BR19" s="93"/>
      <c r="BS19" s="93"/>
      <c r="BT19" s="93"/>
    </row>
    <row r="20" spans="1:97">
      <c r="A20" s="72"/>
      <c r="B20" s="69" t="s">
        <v>147</v>
      </c>
      <c r="C20" s="69"/>
      <c r="D20" s="112">
        <f>SUM(D2:D19)</f>
        <v>11429</v>
      </c>
      <c r="E20" s="148"/>
      <c r="F20" s="209">
        <f>SUM(F4:F19)</f>
        <v>2124</v>
      </c>
      <c r="G20" s="210"/>
      <c r="H20" s="210"/>
      <c r="I20" s="210"/>
      <c r="J20" s="210"/>
      <c r="K20" s="211"/>
      <c r="L20" s="212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AI20" s="179"/>
      <c r="AK20" s="213">
        <f>SUM(AK4:AK19)</f>
        <v>5900</v>
      </c>
      <c r="AL20" s="214"/>
      <c r="AM20" s="214"/>
      <c r="AN20" s="214"/>
      <c r="AO20" s="214"/>
      <c r="BN20" s="144"/>
      <c r="BO20" s="215">
        <f>SUM(BO2:BO19)</f>
        <v>3550</v>
      </c>
      <c r="BP20" s="214"/>
      <c r="BQ20" s="216"/>
      <c r="BR20" s="214"/>
      <c r="BS20" s="214"/>
      <c r="BT20" s="214"/>
    </row>
    <row r="21" spans="1:97" s="157" customFormat="1">
      <c r="A21" s="58" t="s">
        <v>108</v>
      </c>
      <c r="B21" s="58" t="s">
        <v>2</v>
      </c>
      <c r="C21" s="58" t="s">
        <v>109</v>
      </c>
      <c r="D21" s="58" t="s">
        <v>110</v>
      </c>
      <c r="E21" s="149" t="s">
        <v>4</v>
      </c>
      <c r="F21" s="208" t="s">
        <v>148</v>
      </c>
      <c r="G21" s="157">
        <v>2</v>
      </c>
      <c r="H21" s="157">
        <v>3</v>
      </c>
      <c r="I21" s="157">
        <v>4</v>
      </c>
      <c r="J21" s="157">
        <v>5</v>
      </c>
      <c r="K21" s="157">
        <v>6</v>
      </c>
      <c r="L21" s="120">
        <v>7</v>
      </c>
      <c r="M21" s="157">
        <v>8</v>
      </c>
      <c r="N21" s="157">
        <v>9</v>
      </c>
      <c r="O21" s="157">
        <v>10</v>
      </c>
      <c r="P21" s="157">
        <v>11</v>
      </c>
      <c r="Q21" s="157">
        <v>12</v>
      </c>
      <c r="R21" s="157">
        <v>13</v>
      </c>
      <c r="S21" s="157">
        <v>14</v>
      </c>
      <c r="T21" s="157">
        <v>15</v>
      </c>
      <c r="U21" s="157">
        <v>16</v>
      </c>
      <c r="V21" s="157">
        <v>17</v>
      </c>
      <c r="W21" s="157">
        <v>18</v>
      </c>
      <c r="X21" s="157">
        <v>19</v>
      </c>
      <c r="Y21" s="157">
        <v>20</v>
      </c>
      <c r="Z21" s="157">
        <v>21</v>
      </c>
      <c r="AA21" s="157">
        <v>22</v>
      </c>
      <c r="AB21" s="157">
        <v>23</v>
      </c>
      <c r="AC21" s="157">
        <v>24</v>
      </c>
      <c r="AD21" s="157">
        <v>25</v>
      </c>
      <c r="AE21" s="157">
        <v>26</v>
      </c>
      <c r="AF21" s="157">
        <v>27</v>
      </c>
      <c r="AG21" s="157">
        <v>28</v>
      </c>
      <c r="AH21" s="157">
        <v>29</v>
      </c>
      <c r="AI21" s="157">
        <v>30</v>
      </c>
      <c r="AJ21" s="157">
        <v>31</v>
      </c>
      <c r="AK21" s="208" t="s">
        <v>114</v>
      </c>
      <c r="AL21" s="157">
        <v>2</v>
      </c>
      <c r="AM21" s="157">
        <v>3</v>
      </c>
      <c r="AN21" s="157">
        <v>4</v>
      </c>
      <c r="AO21" s="157">
        <v>5</v>
      </c>
      <c r="AP21" s="157">
        <v>6</v>
      </c>
      <c r="AQ21" s="157">
        <v>7</v>
      </c>
      <c r="AR21" s="157">
        <v>8</v>
      </c>
      <c r="AS21" s="157">
        <v>9</v>
      </c>
      <c r="AT21" s="157">
        <v>10</v>
      </c>
      <c r="AU21" s="157">
        <v>11</v>
      </c>
      <c r="AV21" s="157">
        <v>12</v>
      </c>
      <c r="AW21" s="157">
        <v>13</v>
      </c>
      <c r="AX21" s="157">
        <v>14</v>
      </c>
      <c r="AY21" s="157">
        <v>15</v>
      </c>
      <c r="AZ21" s="157">
        <v>16</v>
      </c>
      <c r="BA21" s="157">
        <v>17</v>
      </c>
      <c r="BB21" s="157">
        <v>18</v>
      </c>
      <c r="BC21" s="157">
        <v>19</v>
      </c>
      <c r="BD21" s="157">
        <v>20</v>
      </c>
      <c r="BE21" s="157">
        <v>21</v>
      </c>
      <c r="BF21" s="157">
        <v>22</v>
      </c>
      <c r="BG21" s="157">
        <v>23</v>
      </c>
      <c r="BH21" s="157">
        <v>24</v>
      </c>
      <c r="BI21" s="157">
        <v>25</v>
      </c>
      <c r="BJ21" s="157">
        <v>26</v>
      </c>
      <c r="BK21" s="157">
        <v>27</v>
      </c>
      <c r="BL21" s="157">
        <v>28</v>
      </c>
      <c r="BM21" s="157">
        <v>29</v>
      </c>
      <c r="BN21" s="157">
        <v>30</v>
      </c>
      <c r="BO21" s="208" t="s">
        <v>149</v>
      </c>
      <c r="BP21" s="157">
        <v>2</v>
      </c>
      <c r="BQ21" s="157">
        <v>3</v>
      </c>
      <c r="BR21" s="157">
        <v>4</v>
      </c>
      <c r="BS21" s="157">
        <v>5</v>
      </c>
      <c r="BT21" s="157">
        <v>6</v>
      </c>
      <c r="BU21" s="157">
        <v>7</v>
      </c>
      <c r="BV21" s="157">
        <v>8</v>
      </c>
      <c r="BW21" s="157">
        <v>9</v>
      </c>
      <c r="BX21" s="157">
        <v>10</v>
      </c>
      <c r="BY21" s="157">
        <v>11</v>
      </c>
      <c r="BZ21" s="157">
        <v>12</v>
      </c>
      <c r="CA21" s="157">
        <v>13</v>
      </c>
      <c r="CB21" s="157">
        <v>14</v>
      </c>
      <c r="CC21" s="157">
        <v>15</v>
      </c>
      <c r="CD21" s="157">
        <v>16</v>
      </c>
      <c r="CE21" s="157">
        <v>17</v>
      </c>
      <c r="CF21" s="157">
        <v>18</v>
      </c>
      <c r="CG21" s="157">
        <v>19</v>
      </c>
      <c r="CH21" s="157">
        <v>20</v>
      </c>
      <c r="CI21" s="157">
        <v>21</v>
      </c>
      <c r="CJ21" s="157">
        <v>22</v>
      </c>
      <c r="CK21" s="157">
        <v>23</v>
      </c>
      <c r="CL21" s="157">
        <v>24</v>
      </c>
      <c r="CM21" s="157">
        <v>25</v>
      </c>
      <c r="CN21" s="157">
        <v>26</v>
      </c>
      <c r="CO21" s="157">
        <v>27</v>
      </c>
      <c r="CP21" s="157">
        <v>28</v>
      </c>
      <c r="CQ21" s="157">
        <v>29</v>
      </c>
      <c r="CR21" s="157">
        <v>30</v>
      </c>
      <c r="CS21" s="157">
        <v>31</v>
      </c>
    </row>
    <row r="22" spans="1:97">
      <c r="A22" s="152">
        <v>1</v>
      </c>
      <c r="B22" s="205" t="s">
        <v>84</v>
      </c>
      <c r="C22" s="62"/>
      <c r="D22" s="62">
        <v>200</v>
      </c>
      <c r="E22" s="217" t="s">
        <v>115</v>
      </c>
      <c r="F22" s="218"/>
      <c r="G22" s="201"/>
      <c r="H22" s="201"/>
      <c r="I22" s="201"/>
      <c r="J22" s="201"/>
      <c r="K22" s="201"/>
      <c r="L22" s="201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60"/>
      <c r="AA22" s="38"/>
      <c r="AB22" s="38"/>
      <c r="AC22" s="38"/>
      <c r="AD22" s="38"/>
      <c r="AE22" s="38"/>
      <c r="AF22" s="60"/>
      <c r="AG22" s="38"/>
      <c r="AH22" s="38"/>
      <c r="AI22" s="38"/>
      <c r="AJ22" s="38"/>
      <c r="AK22" s="26"/>
      <c r="AL22" s="201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60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24"/>
      <c r="BO22" s="218"/>
      <c r="BP22" s="201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60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60"/>
    </row>
    <row r="23" spans="1:97">
      <c r="A23" s="23">
        <v>2</v>
      </c>
      <c r="B23" s="24" t="s">
        <v>34</v>
      </c>
      <c r="C23" s="25"/>
      <c r="D23" s="25">
        <v>200</v>
      </c>
      <c r="E23" s="141" t="s">
        <v>115</v>
      </c>
      <c r="F23" s="27"/>
      <c r="G23" s="27"/>
      <c r="H23" s="27"/>
      <c r="I23" s="27"/>
      <c r="J23" s="27"/>
      <c r="K23" s="27"/>
      <c r="L23" s="27"/>
      <c r="M23" s="3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41"/>
      <c r="AA23" s="27"/>
      <c r="AB23" s="27"/>
      <c r="AC23" s="27"/>
      <c r="AD23" s="27"/>
      <c r="AE23" s="27"/>
      <c r="AF23" s="41"/>
      <c r="AG23" s="38"/>
      <c r="AH23" s="38"/>
      <c r="AI23" s="38"/>
      <c r="AJ23" s="38"/>
      <c r="AK23" s="27"/>
      <c r="AL23" s="27"/>
      <c r="AM23" s="3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41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4"/>
      <c r="BO23" s="27"/>
      <c r="BP23" s="27"/>
      <c r="BQ23" s="3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41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41"/>
    </row>
    <row r="24" spans="1:97">
      <c r="A24" s="23">
        <v>3</v>
      </c>
      <c r="B24" s="24" t="s">
        <v>36</v>
      </c>
      <c r="C24" s="25"/>
      <c r="D24" s="25">
        <v>600</v>
      </c>
      <c r="E24" s="141" t="s">
        <v>115</v>
      </c>
      <c r="F24" s="27"/>
      <c r="G24" s="27"/>
      <c r="H24" s="27"/>
      <c r="I24" s="27"/>
      <c r="J24" s="27"/>
      <c r="K24" s="27"/>
      <c r="L24" s="27"/>
      <c r="M24" s="65"/>
      <c r="N24" s="48"/>
      <c r="O24" s="48"/>
      <c r="P24" s="48"/>
      <c r="Q24" s="48"/>
      <c r="R24" s="48"/>
      <c r="S24" s="48"/>
      <c r="T24" s="48"/>
      <c r="U24" s="48"/>
      <c r="V24" s="48"/>
      <c r="W24" s="48">
        <v>200</v>
      </c>
      <c r="X24" s="48"/>
      <c r="Y24" s="48"/>
      <c r="Z24" s="48"/>
      <c r="AA24" s="48"/>
      <c r="AB24" s="48"/>
      <c r="AC24" s="48"/>
      <c r="AD24" s="48"/>
      <c r="AE24" s="26"/>
      <c r="AF24" s="48"/>
      <c r="AG24" s="48"/>
      <c r="AH24" s="48"/>
      <c r="AI24" s="48"/>
      <c r="AJ24" s="27"/>
      <c r="AK24" s="27"/>
      <c r="AL24" s="27"/>
      <c r="AM24" s="71"/>
      <c r="AN24" s="23"/>
      <c r="AO24" s="23"/>
      <c r="AP24" s="23"/>
      <c r="AQ24" s="23"/>
      <c r="AR24" s="23"/>
      <c r="AS24" s="23"/>
      <c r="AT24" s="23"/>
      <c r="AU24" s="23">
        <v>200</v>
      </c>
      <c r="AV24" s="23"/>
      <c r="AW24" s="23"/>
      <c r="AX24" s="23"/>
      <c r="AY24" s="23"/>
      <c r="AZ24" s="23"/>
      <c r="BA24" s="23"/>
      <c r="BB24" s="75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4"/>
      <c r="BO24" s="23"/>
      <c r="BP24" s="23"/>
      <c r="BQ24" s="71"/>
      <c r="BR24" s="23"/>
      <c r="BS24" s="23"/>
      <c r="BT24" s="23"/>
      <c r="BU24" s="27"/>
      <c r="BV24" s="23">
        <v>100</v>
      </c>
      <c r="BW24" s="71">
        <v>100</v>
      </c>
      <c r="BX24" s="23"/>
      <c r="BY24" s="23"/>
      <c r="BZ24" s="23"/>
      <c r="CA24" s="23"/>
      <c r="CB24" s="23"/>
      <c r="CC24" s="23">
        <v>100</v>
      </c>
      <c r="CD24" s="23">
        <v>100</v>
      </c>
      <c r="CE24" s="23"/>
      <c r="CF24" s="75"/>
      <c r="CG24" s="23"/>
      <c r="CH24" s="23"/>
      <c r="CI24" s="23"/>
      <c r="CJ24" s="23"/>
      <c r="CK24" s="27"/>
      <c r="CL24" s="27"/>
      <c r="CM24" s="27"/>
      <c r="CN24" s="27"/>
      <c r="CO24" s="27"/>
      <c r="CP24" s="27"/>
      <c r="CQ24" s="27"/>
      <c r="CR24" s="27"/>
      <c r="CS24" s="41"/>
    </row>
    <row r="25" spans="1:97">
      <c r="A25" s="23">
        <v>4</v>
      </c>
      <c r="B25" s="24" t="s">
        <v>37</v>
      </c>
      <c r="C25" s="25"/>
      <c r="D25" s="25">
        <v>550</v>
      </c>
      <c r="E25" s="141" t="s">
        <v>115</v>
      </c>
      <c r="F25" s="27"/>
      <c r="G25" s="27"/>
      <c r="H25" s="27"/>
      <c r="I25" s="27"/>
      <c r="J25" s="27"/>
      <c r="K25" s="27"/>
      <c r="L25" s="27"/>
      <c r="M25" s="37"/>
      <c r="N25" s="27"/>
      <c r="O25" s="41"/>
      <c r="P25" s="27"/>
      <c r="Q25" s="27"/>
      <c r="R25" s="27"/>
      <c r="S25" s="27"/>
      <c r="T25" s="27"/>
      <c r="U25" s="27"/>
      <c r="V25" s="27"/>
      <c r="W25" s="27"/>
      <c r="X25" s="27"/>
      <c r="Y25" s="27">
        <v>200</v>
      </c>
      <c r="Z25" s="27"/>
      <c r="AA25" s="37"/>
      <c r="AB25" s="27"/>
      <c r="AC25" s="27"/>
      <c r="AD25" s="37"/>
      <c r="AE25" s="27"/>
      <c r="AF25" s="41"/>
      <c r="AG25" s="27"/>
      <c r="AH25" s="27"/>
      <c r="AI25" s="27"/>
      <c r="AJ25" s="27"/>
      <c r="AK25" s="27"/>
      <c r="AL25" s="27"/>
      <c r="AM25" s="71"/>
      <c r="AN25" s="23"/>
      <c r="AO25" s="23"/>
      <c r="AP25" s="23"/>
      <c r="AQ25" s="23"/>
      <c r="AR25" s="23"/>
      <c r="AS25" s="23"/>
      <c r="AT25" s="23"/>
      <c r="AU25" s="23"/>
      <c r="AV25" s="23">
        <v>200</v>
      </c>
      <c r="AW25" s="23"/>
      <c r="AX25" s="23"/>
      <c r="AY25" s="23"/>
      <c r="AZ25" s="23"/>
      <c r="BA25" s="23"/>
      <c r="BB25" s="75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4"/>
      <c r="BO25" s="23"/>
      <c r="BP25" s="23"/>
      <c r="BQ25" s="71"/>
      <c r="BR25" s="23"/>
      <c r="BS25" s="23"/>
      <c r="BT25" s="23"/>
      <c r="BU25" s="27"/>
      <c r="BV25" s="23"/>
      <c r="BW25" s="71"/>
      <c r="BX25" s="23">
        <v>100</v>
      </c>
      <c r="BY25" s="23">
        <v>100</v>
      </c>
      <c r="BZ25" s="23"/>
      <c r="CA25" s="23"/>
      <c r="CB25" s="23"/>
      <c r="CC25" s="23"/>
      <c r="CD25" s="23"/>
      <c r="CE25" s="23">
        <v>150</v>
      </c>
      <c r="CF25" s="75"/>
      <c r="CG25" s="23"/>
      <c r="CH25" s="23"/>
      <c r="CI25" s="23"/>
      <c r="CJ25" s="23"/>
      <c r="CK25" s="27"/>
      <c r="CL25" s="27"/>
      <c r="CM25" s="27"/>
      <c r="CN25" s="27"/>
      <c r="CO25" s="27"/>
      <c r="CP25" s="27"/>
      <c r="CQ25" s="27"/>
      <c r="CR25" s="27"/>
      <c r="CS25" s="41"/>
    </row>
    <row r="26" spans="1:97">
      <c r="A26" s="202">
        <v>5</v>
      </c>
      <c r="B26" s="109" t="s">
        <v>116</v>
      </c>
      <c r="C26" s="50"/>
      <c r="D26" s="50">
        <v>4000</v>
      </c>
      <c r="E26" s="203" t="s">
        <v>115</v>
      </c>
      <c r="F26" s="48"/>
      <c r="G26" s="48"/>
      <c r="H26" s="48"/>
      <c r="I26" s="48"/>
      <c r="J26" s="48"/>
      <c r="K26" s="48"/>
      <c r="L26" s="48"/>
      <c r="M26" s="65"/>
      <c r="N26" s="48"/>
      <c r="O26" s="59"/>
      <c r="P26" s="48"/>
      <c r="Q26" s="48"/>
      <c r="R26" s="48"/>
      <c r="S26" s="48"/>
      <c r="T26" s="48">
        <v>100</v>
      </c>
      <c r="U26" s="48">
        <v>100</v>
      </c>
      <c r="V26" s="48">
        <v>100</v>
      </c>
      <c r="W26" s="48">
        <v>200</v>
      </c>
      <c r="X26" s="48"/>
      <c r="Y26" s="48"/>
      <c r="Z26" s="48"/>
      <c r="AA26" s="65"/>
      <c r="AB26" s="48"/>
      <c r="AC26" s="48"/>
      <c r="AD26" s="65"/>
      <c r="AE26" s="48"/>
      <c r="AF26" s="48"/>
      <c r="AG26" s="48"/>
      <c r="AH26" s="65"/>
      <c r="AI26" s="48"/>
      <c r="AJ26" s="48"/>
      <c r="AK26" s="59"/>
      <c r="AL26" s="48"/>
      <c r="AM26" s="202">
        <v>100</v>
      </c>
      <c r="AN26" s="202">
        <v>100</v>
      </c>
      <c r="AO26" s="202">
        <v>100</v>
      </c>
      <c r="AP26" s="202">
        <v>100</v>
      </c>
      <c r="AQ26" s="202">
        <v>100</v>
      </c>
      <c r="AR26" s="202"/>
      <c r="AS26" s="202"/>
      <c r="AT26" s="202"/>
      <c r="AU26" s="202"/>
      <c r="AV26" s="202"/>
      <c r="AW26" s="202">
        <v>200</v>
      </c>
      <c r="AX26" s="202">
        <v>200</v>
      </c>
      <c r="AY26" s="202">
        <v>200</v>
      </c>
      <c r="AZ26" s="202"/>
      <c r="BA26" s="202">
        <v>200</v>
      </c>
      <c r="BB26" s="204">
        <v>200</v>
      </c>
      <c r="BC26" s="202">
        <v>200</v>
      </c>
      <c r="BD26" s="202">
        <v>200</v>
      </c>
      <c r="BE26" s="202">
        <v>200</v>
      </c>
      <c r="BF26" s="202">
        <v>200</v>
      </c>
      <c r="BG26" s="202"/>
      <c r="BH26" s="202">
        <v>40</v>
      </c>
      <c r="BI26" s="202">
        <v>40</v>
      </c>
      <c r="BJ26" s="202">
        <v>47</v>
      </c>
      <c r="BK26" s="202">
        <v>200</v>
      </c>
      <c r="BL26" s="202">
        <v>200</v>
      </c>
      <c r="BM26" s="202">
        <v>200</v>
      </c>
      <c r="BN26" s="24"/>
      <c r="BO26" s="204">
        <v>7</v>
      </c>
      <c r="BP26" s="202"/>
      <c r="BQ26" s="202"/>
      <c r="BR26" s="202"/>
      <c r="BS26" s="202">
        <v>300</v>
      </c>
      <c r="BT26" s="202">
        <v>200</v>
      </c>
      <c r="BU26" s="27"/>
      <c r="BV26" s="202"/>
      <c r="BW26" s="202"/>
      <c r="BX26" s="202"/>
      <c r="BY26" s="202"/>
      <c r="BZ26" s="202">
        <v>300</v>
      </c>
      <c r="CA26" s="202">
        <v>200</v>
      </c>
      <c r="CB26" s="202"/>
      <c r="CC26" s="202">
        <v>200</v>
      </c>
      <c r="CD26" s="202">
        <v>200</v>
      </c>
      <c r="CE26" s="202">
        <v>200</v>
      </c>
      <c r="CF26" s="204">
        <v>200</v>
      </c>
      <c r="CG26" s="202">
        <v>200</v>
      </c>
      <c r="CH26" s="202"/>
      <c r="CI26" s="202"/>
      <c r="CJ26" s="202">
        <v>200</v>
      </c>
      <c r="CK26" s="48">
        <v>200</v>
      </c>
      <c r="CL26" s="48">
        <v>200</v>
      </c>
      <c r="CM26" s="48">
        <v>200</v>
      </c>
      <c r="CN26" s="48">
        <v>200</v>
      </c>
      <c r="CO26" s="48"/>
      <c r="CP26" s="48"/>
      <c r="CQ26" s="48">
        <v>200</v>
      </c>
      <c r="CR26" s="48">
        <v>200</v>
      </c>
      <c r="CS26" s="59"/>
    </row>
    <row r="27" spans="1:97" s="157" customFormat="1">
      <c r="A27" s="23">
        <v>6</v>
      </c>
      <c r="B27" s="24" t="s">
        <v>41</v>
      </c>
      <c r="C27" s="25"/>
      <c r="D27" s="25">
        <v>250</v>
      </c>
      <c r="E27" s="137" t="s">
        <v>115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4"/>
      <c r="BO27" s="23"/>
      <c r="BP27" s="23">
        <v>20</v>
      </c>
      <c r="BQ27" s="23">
        <v>20</v>
      </c>
      <c r="BR27" s="23"/>
      <c r="BS27" s="23">
        <v>27</v>
      </c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7"/>
      <c r="CL27" s="27"/>
      <c r="CM27" s="27"/>
      <c r="CN27" s="27"/>
      <c r="CO27" s="27"/>
      <c r="CP27" s="27">
        <v>150</v>
      </c>
      <c r="CQ27" s="27"/>
      <c r="CR27" s="27"/>
      <c r="CS27" s="27">
        <v>100</v>
      </c>
    </row>
    <row r="28" spans="1:97" s="157" customFormat="1">
      <c r="A28" s="23">
        <v>7</v>
      </c>
      <c r="B28" s="24" t="s">
        <v>119</v>
      </c>
      <c r="C28" s="25"/>
      <c r="D28" s="25">
        <v>250</v>
      </c>
      <c r="E28" s="137" t="s">
        <v>115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4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7"/>
      <c r="CL28" s="27"/>
      <c r="CM28" s="27"/>
      <c r="CN28" s="27"/>
      <c r="CO28" s="27"/>
      <c r="CP28" s="27"/>
      <c r="CQ28" s="27">
        <v>100</v>
      </c>
      <c r="CR28" s="27">
        <v>150</v>
      </c>
      <c r="CS28" s="27"/>
    </row>
    <row r="29" spans="1:97" s="157" customFormat="1">
      <c r="A29" s="23">
        <v>8</v>
      </c>
      <c r="B29" s="24" t="s">
        <v>44</v>
      </c>
      <c r="C29" s="25"/>
      <c r="D29" s="25">
        <v>0</v>
      </c>
      <c r="E29" s="137" t="s">
        <v>115</v>
      </c>
      <c r="F29" s="27"/>
      <c r="G29" s="27"/>
      <c r="H29" s="27"/>
      <c r="I29" s="27"/>
      <c r="J29" s="27"/>
      <c r="K29" s="27"/>
      <c r="L29" s="27"/>
      <c r="M29" s="27"/>
      <c r="N29" s="27"/>
      <c r="O29" s="44"/>
      <c r="P29" s="44"/>
      <c r="Q29" s="44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4"/>
      <c r="BO29" s="23"/>
      <c r="BP29" s="23">
        <v>30</v>
      </c>
      <c r="BQ29" s="23">
        <v>30</v>
      </c>
      <c r="BR29" s="23">
        <v>30</v>
      </c>
      <c r="BS29" s="23">
        <v>40</v>
      </c>
      <c r="BT29" s="23">
        <v>32</v>
      </c>
      <c r="BU29" s="23"/>
      <c r="BV29" s="23">
        <v>40</v>
      </c>
      <c r="BW29" s="23">
        <v>40</v>
      </c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7"/>
      <c r="CL29" s="27"/>
      <c r="CM29" s="27"/>
      <c r="CN29" s="27"/>
      <c r="CO29" s="27"/>
      <c r="CP29" s="27"/>
      <c r="CQ29" s="27"/>
      <c r="CR29" s="27"/>
      <c r="CS29" s="27"/>
    </row>
    <row r="30" spans="1:97" s="157" customFormat="1">
      <c r="A30" s="23">
        <v>9</v>
      </c>
      <c r="B30" s="24" t="s">
        <v>120</v>
      </c>
      <c r="C30" s="25"/>
      <c r="D30" s="25">
        <v>0</v>
      </c>
      <c r="E30" s="137" t="s">
        <v>115</v>
      </c>
      <c r="F30" s="27"/>
      <c r="G30" s="27"/>
      <c r="H30" s="27"/>
      <c r="I30" s="27"/>
      <c r="J30" s="27"/>
      <c r="K30" s="23"/>
      <c r="L30" s="23"/>
      <c r="M30" s="23"/>
      <c r="N30" s="23"/>
      <c r="O30" s="23"/>
      <c r="P30" s="23"/>
      <c r="Q30" s="44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4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7"/>
      <c r="CL30" s="27"/>
      <c r="CM30" s="27"/>
      <c r="CN30" s="27"/>
      <c r="CO30" s="27"/>
      <c r="CP30" s="27"/>
      <c r="CQ30" s="27"/>
      <c r="CR30" s="27"/>
      <c r="CS30" s="27"/>
    </row>
    <row r="31" spans="1:97">
      <c r="A31" s="152">
        <v>10</v>
      </c>
      <c r="B31" s="205" t="s">
        <v>47</v>
      </c>
      <c r="C31" s="62"/>
      <c r="D31" s="62">
        <v>324</v>
      </c>
      <c r="E31" s="206" t="s">
        <v>115</v>
      </c>
      <c r="F31" s="38"/>
      <c r="G31" s="38"/>
      <c r="H31" s="38"/>
      <c r="I31" s="38"/>
      <c r="J31" s="38"/>
      <c r="K31" s="38"/>
      <c r="L31" s="38"/>
      <c r="M31" s="207"/>
      <c r="N31" s="201"/>
      <c r="O31" s="201"/>
      <c r="P31" s="201"/>
      <c r="Q31" s="201"/>
      <c r="R31" s="152"/>
      <c r="S31" s="152"/>
      <c r="T31" s="152"/>
      <c r="U31" s="152"/>
      <c r="V31" s="152"/>
      <c r="W31" s="152"/>
      <c r="X31" s="38"/>
      <c r="Y31" s="38"/>
      <c r="Z31" s="60"/>
      <c r="AA31" s="38"/>
      <c r="AB31" s="38"/>
      <c r="AC31" s="38"/>
      <c r="AD31" s="38"/>
      <c r="AE31" s="38"/>
      <c r="AF31" s="38"/>
      <c r="AG31" s="38"/>
      <c r="AH31" s="66"/>
      <c r="AI31" s="38"/>
      <c r="AJ31" s="60"/>
      <c r="AK31" s="38"/>
      <c r="AL31" s="38"/>
      <c r="AM31" s="152"/>
      <c r="AN31" s="152"/>
      <c r="AO31" s="152"/>
      <c r="AP31" s="152"/>
      <c r="AQ31" s="152"/>
      <c r="AR31" s="152"/>
      <c r="AS31" s="152"/>
      <c r="AT31" s="152">
        <v>40</v>
      </c>
      <c r="AU31" s="152">
        <v>40</v>
      </c>
      <c r="AV31" s="152">
        <v>40</v>
      </c>
      <c r="AW31" s="152">
        <v>40</v>
      </c>
      <c r="AX31" s="152">
        <v>40</v>
      </c>
      <c r="AY31" s="152">
        <v>44</v>
      </c>
      <c r="AZ31" s="152"/>
      <c r="BA31" s="152">
        <v>40</v>
      </c>
      <c r="BB31" s="152">
        <v>40</v>
      </c>
      <c r="BC31" s="152"/>
      <c r="BD31" s="152"/>
      <c r="BE31" s="152"/>
      <c r="BF31" s="152"/>
      <c r="BG31" s="152"/>
      <c r="BH31" s="152">
        <v>40</v>
      </c>
      <c r="BI31" s="152">
        <v>40</v>
      </c>
      <c r="BJ31" s="152">
        <v>24</v>
      </c>
      <c r="BK31" s="152"/>
      <c r="BL31" s="152"/>
      <c r="BM31" s="152"/>
      <c r="BN31" s="24"/>
      <c r="BO31" s="152">
        <v>40</v>
      </c>
      <c r="BP31" s="152"/>
      <c r="BQ31" s="152"/>
      <c r="BR31" s="152"/>
      <c r="BS31" s="152"/>
      <c r="BT31" s="152"/>
      <c r="BU31" s="152"/>
      <c r="BV31" s="152"/>
      <c r="BW31" s="152"/>
      <c r="BX31" s="152"/>
      <c r="BY31" s="152"/>
      <c r="BZ31" s="152"/>
      <c r="CA31" s="152"/>
      <c r="CB31" s="152"/>
      <c r="CC31" s="152"/>
      <c r="CD31" s="152"/>
      <c r="CE31" s="152"/>
      <c r="CF31" s="152"/>
      <c r="CG31" s="152"/>
      <c r="CH31" s="152">
        <v>33</v>
      </c>
      <c r="CI31" s="152"/>
      <c r="CJ31" s="152"/>
      <c r="CK31" s="38"/>
      <c r="CL31" s="38"/>
      <c r="CM31" s="38"/>
      <c r="CN31" s="38"/>
      <c r="CO31" s="38"/>
      <c r="CP31" s="38"/>
      <c r="CQ31" s="38"/>
      <c r="CR31" s="38"/>
      <c r="CS31" s="60"/>
    </row>
    <row r="32" spans="1:97">
      <c r="A32" s="23">
        <v>11</v>
      </c>
      <c r="B32" s="24" t="s">
        <v>49</v>
      </c>
      <c r="C32" s="25"/>
      <c r="D32" s="25">
        <v>800</v>
      </c>
      <c r="E32" s="141" t="s">
        <v>50</v>
      </c>
      <c r="F32" s="27"/>
      <c r="G32" s="27"/>
      <c r="H32" s="27"/>
      <c r="I32" s="27"/>
      <c r="J32" s="27"/>
      <c r="K32" s="27"/>
      <c r="L32" s="27"/>
      <c r="M32" s="65"/>
      <c r="N32" s="48"/>
      <c r="O32" s="48"/>
      <c r="P32" s="48"/>
      <c r="Q32" s="48"/>
      <c r="R32" s="71"/>
      <c r="S32" s="71">
        <v>200</v>
      </c>
      <c r="T32" s="71">
        <v>100</v>
      </c>
      <c r="U32" s="71"/>
      <c r="V32" s="71"/>
      <c r="W32" s="71"/>
      <c r="X32" s="27"/>
      <c r="Y32" s="27"/>
      <c r="Z32" s="41"/>
      <c r="AA32" s="27"/>
      <c r="AB32" s="27"/>
      <c r="AC32" s="27"/>
      <c r="AD32" s="27"/>
      <c r="AE32" s="27"/>
      <c r="AF32" s="27"/>
      <c r="AG32" s="27"/>
      <c r="AH32" s="37"/>
      <c r="AI32" s="27"/>
      <c r="AJ32" s="41"/>
      <c r="AK32" s="27"/>
      <c r="AL32" s="27"/>
      <c r="AM32" s="152">
        <v>150</v>
      </c>
      <c r="AN32" s="152">
        <v>150</v>
      </c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152"/>
      <c r="BJ32" s="152"/>
      <c r="BK32" s="23"/>
      <c r="BL32" s="23"/>
      <c r="BM32" s="23"/>
      <c r="BN32" s="24"/>
      <c r="BO32" s="23"/>
      <c r="BP32" s="23"/>
      <c r="BQ32" s="152"/>
      <c r="BR32" s="152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>
        <v>150</v>
      </c>
      <c r="CD32" s="23">
        <v>50</v>
      </c>
      <c r="CE32" s="23"/>
      <c r="CF32" s="23"/>
      <c r="CG32" s="23"/>
      <c r="CH32" s="23"/>
      <c r="CI32" s="23"/>
      <c r="CJ32" s="23"/>
      <c r="CK32" s="27"/>
      <c r="CL32" s="27"/>
      <c r="CM32" s="27"/>
      <c r="CN32" s="27"/>
      <c r="CO32" s="27"/>
      <c r="CP32" s="27"/>
      <c r="CQ32" s="27"/>
      <c r="CR32" s="27"/>
      <c r="CS32" s="41"/>
    </row>
    <row r="33" spans="1:97">
      <c r="A33" s="23">
        <v>12</v>
      </c>
      <c r="B33" s="24" t="s">
        <v>51</v>
      </c>
      <c r="C33" s="25"/>
      <c r="D33" s="25">
        <v>1600</v>
      </c>
      <c r="E33" s="141" t="s">
        <v>50</v>
      </c>
      <c r="F33" s="27"/>
      <c r="G33" s="27"/>
      <c r="H33" s="27"/>
      <c r="I33" s="27"/>
      <c r="J33" s="27"/>
      <c r="K33" s="27"/>
      <c r="L33" s="27"/>
      <c r="M33" s="65"/>
      <c r="N33" s="48"/>
      <c r="O33" s="48"/>
      <c r="P33" s="48"/>
      <c r="Q33" s="48"/>
      <c r="R33" s="71"/>
      <c r="S33" s="71"/>
      <c r="T33" s="71">
        <v>100</v>
      </c>
      <c r="U33" s="71">
        <v>150</v>
      </c>
      <c r="V33" s="71">
        <v>200</v>
      </c>
      <c r="W33" s="71">
        <v>150</v>
      </c>
      <c r="X33" s="27"/>
      <c r="Y33" s="27"/>
      <c r="Z33" s="41"/>
      <c r="AA33" s="27"/>
      <c r="AB33" s="27"/>
      <c r="AC33" s="27"/>
      <c r="AD33" s="27"/>
      <c r="AE33" s="27"/>
      <c r="AF33" s="27"/>
      <c r="AG33" s="27"/>
      <c r="AH33" s="37"/>
      <c r="AI33" s="27"/>
      <c r="AJ33" s="41"/>
      <c r="AK33" s="27"/>
      <c r="AL33" s="27"/>
      <c r="AM33" s="23"/>
      <c r="AN33" s="23"/>
      <c r="AO33" s="152">
        <v>100</v>
      </c>
      <c r="AP33" s="152">
        <v>100</v>
      </c>
      <c r="AQ33" s="152">
        <v>100</v>
      </c>
      <c r="AR33" s="152">
        <v>100</v>
      </c>
      <c r="AS33" s="152"/>
      <c r="AT33" s="152">
        <v>100</v>
      </c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152"/>
      <c r="BL33" s="152"/>
      <c r="BM33" s="152"/>
      <c r="BN33" s="24"/>
      <c r="BO33" s="152"/>
      <c r="BP33" s="152"/>
      <c r="BQ33" s="23"/>
      <c r="BR33" s="23"/>
      <c r="BS33" s="152"/>
      <c r="BT33" s="152"/>
      <c r="BU33" s="152"/>
      <c r="BV33" s="152"/>
      <c r="BW33" s="152"/>
      <c r="BX33" s="152"/>
      <c r="BY33" s="23"/>
      <c r="BZ33" s="23"/>
      <c r="CA33" s="23"/>
      <c r="CB33" s="23"/>
      <c r="CC33" s="23"/>
      <c r="CD33" s="23">
        <v>100</v>
      </c>
      <c r="CE33" s="23">
        <v>150</v>
      </c>
      <c r="CF33" s="23">
        <v>150</v>
      </c>
      <c r="CG33" s="23">
        <v>100</v>
      </c>
      <c r="CH33" s="23"/>
      <c r="CI33" s="23"/>
      <c r="CJ33" s="23"/>
      <c r="CK33" s="27"/>
      <c r="CL33" s="27"/>
      <c r="CM33" s="27"/>
      <c r="CN33" s="27"/>
      <c r="CO33" s="27"/>
      <c r="CP33" s="27"/>
      <c r="CQ33" s="27"/>
      <c r="CR33" s="27"/>
      <c r="CS33" s="41"/>
    </row>
    <row r="34" spans="1:97">
      <c r="A34" s="23">
        <v>13</v>
      </c>
      <c r="B34" s="24" t="s">
        <v>118</v>
      </c>
      <c r="C34" s="25"/>
      <c r="D34" s="25">
        <v>1255</v>
      </c>
      <c r="E34" s="141" t="s">
        <v>50</v>
      </c>
      <c r="F34" s="27"/>
      <c r="G34" s="27"/>
      <c r="H34" s="27"/>
      <c r="I34" s="27"/>
      <c r="J34" s="27"/>
      <c r="K34" s="27"/>
      <c r="L34" s="27"/>
      <c r="M34" s="37"/>
      <c r="N34" s="27"/>
      <c r="O34" s="27"/>
      <c r="P34" s="27"/>
      <c r="Q34" s="27"/>
      <c r="R34" s="66"/>
      <c r="S34" s="38"/>
      <c r="T34" s="38"/>
      <c r="U34" s="38"/>
      <c r="V34" s="38"/>
      <c r="W34" s="38"/>
      <c r="X34" s="38"/>
      <c r="Y34" s="38"/>
      <c r="Z34" s="60"/>
      <c r="AA34" s="38"/>
      <c r="AB34" s="38"/>
      <c r="AC34" s="38"/>
      <c r="AD34" s="38"/>
      <c r="AE34" s="38"/>
      <c r="AF34" s="38"/>
      <c r="AG34" s="38"/>
      <c r="AH34" s="66"/>
      <c r="AI34" s="38"/>
      <c r="AJ34" s="60"/>
      <c r="AK34" s="38"/>
      <c r="AL34" s="38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>
        <v>100</v>
      </c>
      <c r="BC34" s="152">
        <v>100</v>
      </c>
      <c r="BD34" s="152">
        <v>100</v>
      </c>
      <c r="BE34" s="152">
        <v>150</v>
      </c>
      <c r="BF34" s="152">
        <v>150</v>
      </c>
      <c r="BG34" s="152"/>
      <c r="BH34" s="152">
        <v>100</v>
      </c>
      <c r="BI34" s="152">
        <v>100</v>
      </c>
      <c r="BJ34" s="152">
        <v>100</v>
      </c>
      <c r="BK34" s="152">
        <v>100</v>
      </c>
      <c r="BL34" s="152">
        <v>150</v>
      </c>
      <c r="BM34" s="152">
        <v>150</v>
      </c>
      <c r="BN34" s="24"/>
      <c r="BO34" s="152">
        <v>70</v>
      </c>
      <c r="BP34" s="152">
        <v>70</v>
      </c>
      <c r="BQ34" s="152">
        <v>70</v>
      </c>
      <c r="BR34" s="152">
        <v>70</v>
      </c>
      <c r="BS34" s="152">
        <v>70</v>
      </c>
      <c r="BT34" s="152">
        <v>70</v>
      </c>
      <c r="BU34" s="152"/>
      <c r="BV34" s="152">
        <v>100</v>
      </c>
      <c r="BW34" s="152">
        <v>100</v>
      </c>
      <c r="BX34" s="152">
        <v>100</v>
      </c>
      <c r="BY34" s="152">
        <v>100</v>
      </c>
      <c r="BZ34" s="152">
        <v>100</v>
      </c>
      <c r="CA34" s="152">
        <v>105</v>
      </c>
      <c r="CB34" s="152"/>
      <c r="CC34" s="152"/>
      <c r="CD34" s="152"/>
      <c r="CE34" s="152"/>
      <c r="CF34" s="152"/>
      <c r="CG34" s="152"/>
      <c r="CH34" s="152"/>
      <c r="CI34" s="152"/>
      <c r="CJ34" s="152"/>
      <c r="CK34" s="38"/>
      <c r="CL34" s="38"/>
      <c r="CM34" s="38"/>
      <c r="CN34" s="38"/>
      <c r="CO34" s="38"/>
      <c r="CP34" s="38"/>
      <c r="CQ34" s="38"/>
      <c r="CR34" s="38"/>
      <c r="CS34" s="60"/>
    </row>
    <row r="35" spans="1:97">
      <c r="A35" s="23">
        <v>14</v>
      </c>
      <c r="B35" s="24" t="s">
        <v>29</v>
      </c>
      <c r="C35" s="25"/>
      <c r="D35" s="25">
        <v>350</v>
      </c>
      <c r="E35" s="137" t="s">
        <v>50</v>
      </c>
      <c r="F35" s="60"/>
      <c r="G35" s="38"/>
      <c r="H35" s="60"/>
      <c r="I35" s="38"/>
      <c r="J35" s="38"/>
      <c r="K35" s="38"/>
      <c r="L35" s="38"/>
      <c r="M35" s="27"/>
      <c r="N35" s="27"/>
      <c r="O35" s="27"/>
      <c r="P35" s="27"/>
      <c r="Q35" s="27"/>
      <c r="R35" s="37"/>
      <c r="S35" s="37"/>
      <c r="T35" s="37"/>
      <c r="U35" s="37"/>
      <c r="V35" s="37"/>
      <c r="W35" s="37"/>
      <c r="X35" s="27"/>
      <c r="Y35" s="27"/>
      <c r="Z35" s="41"/>
      <c r="AA35" s="27"/>
      <c r="AB35" s="27"/>
      <c r="AC35" s="27"/>
      <c r="AD35" s="27"/>
      <c r="AE35" s="27"/>
      <c r="AF35" s="27"/>
      <c r="AG35" s="27"/>
      <c r="AH35" s="37"/>
      <c r="AI35" s="27"/>
      <c r="AJ35" s="41"/>
      <c r="AK35" s="27"/>
      <c r="AL35" s="27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4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7"/>
      <c r="CL35" s="27"/>
      <c r="CM35" s="27">
        <v>120</v>
      </c>
      <c r="CN35" s="27">
        <v>120</v>
      </c>
      <c r="CO35" s="27">
        <v>120</v>
      </c>
      <c r="CP35" s="27">
        <v>120</v>
      </c>
      <c r="CQ35" s="27"/>
      <c r="CR35" s="27"/>
      <c r="CS35" s="41"/>
    </row>
    <row r="36" spans="1:97">
      <c r="A36" s="23">
        <v>15</v>
      </c>
      <c r="B36" s="24" t="s">
        <v>22</v>
      </c>
      <c r="C36" s="25"/>
      <c r="D36" s="25">
        <v>550</v>
      </c>
      <c r="E36" s="137" t="s">
        <v>50</v>
      </c>
      <c r="F36" s="41"/>
      <c r="G36" s="27"/>
      <c r="H36" s="41"/>
      <c r="I36" s="27"/>
      <c r="J36" s="27"/>
      <c r="K36" s="27"/>
      <c r="L36" s="27"/>
      <c r="M36" s="27"/>
      <c r="N36" s="27"/>
      <c r="O36" s="27"/>
      <c r="P36" s="27"/>
      <c r="Q36" s="27"/>
      <c r="R36" s="37"/>
      <c r="S36" s="27"/>
      <c r="T36" s="27"/>
      <c r="U36" s="27"/>
      <c r="V36" s="27"/>
      <c r="W36" s="27"/>
      <c r="X36" s="27"/>
      <c r="Y36" s="27"/>
      <c r="Z36" s="41"/>
      <c r="AA36" s="27"/>
      <c r="AB36" s="27"/>
      <c r="AC36" s="27"/>
      <c r="AD36" s="27"/>
      <c r="AE36" s="27"/>
      <c r="AF36" s="27"/>
      <c r="AG36" s="27"/>
      <c r="AH36" s="37"/>
      <c r="AI36" s="27"/>
      <c r="AJ36" s="41"/>
      <c r="AK36" s="27"/>
      <c r="AL36" s="27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4"/>
      <c r="BO36" s="23"/>
      <c r="BP36" s="23"/>
      <c r="BQ36" s="23"/>
      <c r="BR36" s="23">
        <v>30</v>
      </c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>
        <v>100</v>
      </c>
      <c r="CK36" s="23">
        <v>100</v>
      </c>
      <c r="CL36" s="27">
        <v>100</v>
      </c>
      <c r="CM36" s="27"/>
      <c r="CN36" s="27"/>
      <c r="CO36" s="27"/>
      <c r="CP36" s="27"/>
      <c r="CQ36" s="27">
        <v>120</v>
      </c>
      <c r="CR36" s="27">
        <v>120</v>
      </c>
      <c r="CS36" s="41">
        <v>120</v>
      </c>
    </row>
    <row r="37" spans="1:97">
      <c r="A37" s="23">
        <v>16</v>
      </c>
      <c r="B37" s="24" t="s">
        <v>121</v>
      </c>
      <c r="C37" s="25"/>
      <c r="D37" s="25">
        <v>0</v>
      </c>
      <c r="E37" s="138" t="s">
        <v>50</v>
      </c>
      <c r="F37" s="59"/>
      <c r="G37" s="48"/>
      <c r="H37" s="59"/>
      <c r="I37" s="27"/>
      <c r="J37" s="27"/>
      <c r="K37" s="27"/>
      <c r="L37" s="27"/>
      <c r="M37" s="27"/>
      <c r="N37" s="27"/>
      <c r="O37" s="27"/>
      <c r="P37" s="27"/>
      <c r="Q37" s="27"/>
      <c r="R37" s="37"/>
      <c r="S37" s="27"/>
      <c r="T37" s="27"/>
      <c r="U37" s="27"/>
      <c r="V37" s="27"/>
      <c r="W37" s="27"/>
      <c r="X37" s="27"/>
      <c r="Y37" s="27"/>
      <c r="Z37" s="41"/>
      <c r="AA37" s="27"/>
      <c r="AB37" s="27"/>
      <c r="AC37" s="27"/>
      <c r="AD37" s="27"/>
      <c r="AE37" s="27"/>
      <c r="AF37" s="27"/>
      <c r="AG37" s="27"/>
      <c r="AH37" s="37"/>
      <c r="AI37" s="27"/>
      <c r="AJ37" s="41"/>
      <c r="AK37" s="38"/>
      <c r="AL37" s="38"/>
      <c r="AM37" s="152"/>
      <c r="AN37" s="152"/>
      <c r="AO37" s="152"/>
      <c r="AP37" s="152"/>
      <c r="AQ37" s="152"/>
      <c r="AR37" s="152"/>
      <c r="AS37" s="152"/>
      <c r="AT37" s="152"/>
      <c r="AU37" s="152"/>
      <c r="AV37" s="152"/>
      <c r="AW37" s="152"/>
      <c r="AX37" s="152"/>
      <c r="AY37" s="152"/>
      <c r="AZ37" s="152"/>
      <c r="BA37" s="152"/>
      <c r="BB37" s="152"/>
      <c r="BC37" s="152"/>
      <c r="BD37" s="152"/>
      <c r="BE37" s="152"/>
      <c r="BF37" s="152"/>
      <c r="BG37" s="152"/>
      <c r="BH37" s="152"/>
      <c r="BI37" s="152"/>
      <c r="BJ37" s="152"/>
      <c r="BK37" s="152"/>
      <c r="BL37" s="152"/>
      <c r="BM37" s="152"/>
      <c r="BN37" s="24"/>
      <c r="BO37" s="152"/>
      <c r="BP37" s="152"/>
      <c r="BQ37" s="152"/>
      <c r="BR37" s="152"/>
      <c r="BS37" s="152"/>
      <c r="BT37" s="152"/>
      <c r="BU37" s="152"/>
      <c r="BV37" s="152"/>
      <c r="BW37" s="152"/>
      <c r="BX37" s="152"/>
      <c r="BY37" s="152"/>
      <c r="BZ37" s="152">
        <v>70</v>
      </c>
      <c r="CA37" s="152"/>
      <c r="CB37" s="152"/>
      <c r="CC37" s="152"/>
      <c r="CD37" s="152"/>
      <c r="CE37" s="152"/>
      <c r="CF37" s="152"/>
      <c r="CG37" s="152"/>
      <c r="CH37" s="152"/>
      <c r="CI37" s="152"/>
      <c r="CJ37" s="152"/>
      <c r="CK37" s="38"/>
      <c r="CL37" s="38"/>
      <c r="CM37" s="38"/>
      <c r="CN37" s="38"/>
      <c r="CO37" s="38"/>
      <c r="CP37" s="38"/>
      <c r="CQ37" s="38"/>
      <c r="CR37" s="38"/>
      <c r="CS37" s="60"/>
    </row>
    <row r="38" spans="1:97">
      <c r="A38" s="23">
        <v>17</v>
      </c>
      <c r="B38" s="24" t="s">
        <v>72</v>
      </c>
      <c r="C38" s="25"/>
      <c r="D38" s="25">
        <v>250</v>
      </c>
      <c r="E38" s="137" t="s">
        <v>50</v>
      </c>
      <c r="F38" s="27"/>
      <c r="G38" s="27"/>
      <c r="H38" s="27"/>
      <c r="I38" s="37"/>
      <c r="J38" s="27"/>
      <c r="K38" s="27"/>
      <c r="L38" s="27"/>
      <c r="M38" s="27">
        <v>50</v>
      </c>
      <c r="N38" s="27">
        <v>100</v>
      </c>
      <c r="O38" s="27"/>
      <c r="P38" s="27">
        <v>100</v>
      </c>
      <c r="Q38" s="27"/>
      <c r="R38" s="66"/>
      <c r="S38" s="38"/>
      <c r="T38" s="38"/>
      <c r="U38" s="38"/>
      <c r="V38" s="38"/>
      <c r="W38" s="38"/>
      <c r="X38" s="38"/>
      <c r="Y38" s="38"/>
      <c r="Z38" s="60"/>
      <c r="AA38" s="38"/>
      <c r="AB38" s="38"/>
      <c r="AC38" s="38"/>
      <c r="AD38" s="38"/>
      <c r="AE38" s="38"/>
      <c r="AF38" s="38"/>
      <c r="AG38" s="38"/>
      <c r="AH38" s="66"/>
      <c r="AI38" s="38"/>
      <c r="AJ38" s="60"/>
      <c r="AK38" s="38"/>
      <c r="AL38" s="38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24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152"/>
      <c r="CJ38" s="152"/>
      <c r="CK38" s="38"/>
      <c r="CL38" s="38"/>
      <c r="CM38" s="38"/>
      <c r="CN38" s="38"/>
      <c r="CO38" s="38"/>
      <c r="CP38" s="38"/>
      <c r="CQ38" s="38"/>
      <c r="CR38" s="38"/>
      <c r="CS38" s="60"/>
    </row>
    <row r="39" spans="1:97">
      <c r="A39" s="23">
        <v>18</v>
      </c>
      <c r="B39" s="24" t="s">
        <v>61</v>
      </c>
      <c r="C39" s="25"/>
      <c r="D39" s="25">
        <v>250</v>
      </c>
      <c r="E39" s="137" t="s">
        <v>50</v>
      </c>
      <c r="F39" s="27"/>
      <c r="G39" s="27"/>
      <c r="H39" s="27"/>
      <c r="I39" s="37"/>
      <c r="J39" s="27"/>
      <c r="K39" s="27"/>
      <c r="L39" s="27"/>
      <c r="M39" s="27">
        <v>50</v>
      </c>
      <c r="N39" s="27"/>
      <c r="O39" s="27">
        <v>100</v>
      </c>
      <c r="P39" s="27"/>
      <c r="Q39" s="27"/>
      <c r="R39" s="66">
        <v>100</v>
      </c>
      <c r="S39" s="38"/>
      <c r="T39" s="38"/>
      <c r="U39" s="38"/>
      <c r="V39" s="38"/>
      <c r="W39" s="38"/>
      <c r="X39" s="38"/>
      <c r="Y39" s="38"/>
      <c r="Z39" s="60"/>
      <c r="AA39" s="38"/>
      <c r="AB39" s="38"/>
      <c r="AC39" s="38"/>
      <c r="AD39" s="38"/>
      <c r="AE39" s="38"/>
      <c r="AF39" s="38"/>
      <c r="AG39" s="38"/>
      <c r="AH39" s="66"/>
      <c r="AI39" s="38"/>
      <c r="AJ39" s="60"/>
      <c r="AK39" s="38"/>
      <c r="AL39" s="38"/>
      <c r="AM39" s="152"/>
      <c r="AN39" s="152"/>
      <c r="AO39" s="152"/>
      <c r="AP39" s="152"/>
      <c r="AQ39" s="152"/>
      <c r="AR39" s="152"/>
      <c r="AS39" s="152"/>
      <c r="AT39" s="152"/>
      <c r="AU39" s="152"/>
      <c r="AV39" s="152"/>
      <c r="AW39" s="152"/>
      <c r="AX39" s="152"/>
      <c r="AY39" s="152"/>
      <c r="AZ39" s="152"/>
      <c r="BA39" s="152"/>
      <c r="BB39" s="152"/>
      <c r="BC39" s="152"/>
      <c r="BD39" s="152"/>
      <c r="BE39" s="152"/>
      <c r="BF39" s="152"/>
      <c r="BG39" s="152"/>
      <c r="BH39" s="152"/>
      <c r="BI39" s="152"/>
      <c r="BJ39" s="152"/>
      <c r="BK39" s="152"/>
      <c r="BL39" s="152"/>
      <c r="BM39" s="152"/>
      <c r="BN39" s="24"/>
      <c r="BO39" s="152"/>
      <c r="BP39" s="152"/>
      <c r="BQ39" s="152"/>
      <c r="BR39" s="152"/>
      <c r="BS39" s="152"/>
      <c r="BT39" s="152"/>
      <c r="BU39" s="152"/>
      <c r="BV39" s="152"/>
      <c r="BW39" s="152"/>
      <c r="BX39" s="152"/>
      <c r="BY39" s="152"/>
      <c r="BZ39" s="152"/>
      <c r="CA39" s="152"/>
      <c r="CB39" s="152"/>
      <c r="CC39" s="152"/>
      <c r="CD39" s="152"/>
      <c r="CE39" s="152"/>
      <c r="CF39" s="152"/>
      <c r="CG39" s="152"/>
      <c r="CH39" s="152"/>
      <c r="CI39" s="152"/>
      <c r="CJ39" s="152"/>
      <c r="CK39" s="38"/>
      <c r="CL39" s="38"/>
      <c r="CM39" s="38"/>
      <c r="CN39" s="38"/>
      <c r="CO39" s="38"/>
      <c r="CP39" s="38"/>
      <c r="CQ39" s="38"/>
      <c r="CR39" s="38"/>
      <c r="CS39" s="60"/>
    </row>
    <row r="40" spans="1:97">
      <c r="A40" s="23">
        <v>19</v>
      </c>
      <c r="B40" s="24" t="s">
        <v>55</v>
      </c>
      <c r="C40" s="25"/>
      <c r="D40" s="25">
        <v>50</v>
      </c>
      <c r="E40" s="137" t="s">
        <v>115</v>
      </c>
      <c r="F40" s="38"/>
      <c r="G40" s="66"/>
      <c r="H40" s="60"/>
      <c r="I40" s="37"/>
      <c r="J40" s="27"/>
      <c r="K40" s="27"/>
      <c r="L40" s="27"/>
      <c r="M40" s="27"/>
      <c r="N40" s="27"/>
      <c r="O40" s="27"/>
      <c r="P40" s="27"/>
      <c r="Q40" s="27"/>
      <c r="R40" s="66"/>
      <c r="S40" s="38"/>
      <c r="T40" s="38"/>
      <c r="U40" s="38"/>
      <c r="V40" s="38"/>
      <c r="W40" s="38"/>
      <c r="X40" s="38"/>
      <c r="Y40" s="38"/>
      <c r="Z40" s="60"/>
      <c r="AA40" s="38"/>
      <c r="AB40" s="38"/>
      <c r="AC40" s="38"/>
      <c r="AD40" s="38"/>
      <c r="AE40" s="38"/>
      <c r="AF40" s="38"/>
      <c r="AG40" s="38"/>
      <c r="AH40" s="66"/>
      <c r="AI40" s="38"/>
      <c r="AJ40" s="60"/>
      <c r="AK40" s="38"/>
      <c r="AL40" s="38"/>
      <c r="AM40" s="152"/>
      <c r="AN40" s="152"/>
      <c r="AO40" s="152"/>
      <c r="AP40" s="152"/>
      <c r="AQ40" s="152"/>
      <c r="AR40" s="152"/>
      <c r="AS40" s="152"/>
      <c r="AT40" s="152"/>
      <c r="AU40" s="152"/>
      <c r="AV40" s="152"/>
      <c r="AW40" s="152"/>
      <c r="AX40" s="152"/>
      <c r="AY40" s="152"/>
      <c r="AZ40" s="152"/>
      <c r="BA40" s="152"/>
      <c r="BB40" s="152"/>
      <c r="BC40" s="152"/>
      <c r="BD40" s="152"/>
      <c r="BE40" s="152"/>
      <c r="BF40" s="152"/>
      <c r="BG40" s="152"/>
      <c r="BH40" s="152"/>
      <c r="BI40" s="152"/>
      <c r="BJ40" s="152"/>
      <c r="BK40" s="152"/>
      <c r="BL40" s="152"/>
      <c r="BM40" s="152"/>
      <c r="BN40" s="24"/>
      <c r="BO40" s="152"/>
      <c r="BP40" s="152"/>
      <c r="BQ40" s="152">
        <v>50</v>
      </c>
      <c r="BR40" s="152"/>
      <c r="BS40" s="152"/>
      <c r="BT40" s="152"/>
      <c r="BU40" s="152"/>
      <c r="BV40" s="152"/>
      <c r="BW40" s="152"/>
      <c r="BX40" s="152"/>
      <c r="BY40" s="152"/>
      <c r="BZ40" s="152"/>
      <c r="CA40" s="152"/>
      <c r="CB40" s="152"/>
      <c r="CC40" s="152"/>
      <c r="CD40" s="152"/>
      <c r="CE40" s="152"/>
      <c r="CF40" s="152"/>
      <c r="CG40" s="152"/>
      <c r="CH40" s="152"/>
      <c r="CI40" s="152"/>
      <c r="CJ40" s="152"/>
      <c r="CK40" s="38"/>
      <c r="CL40" s="38"/>
      <c r="CM40" s="38"/>
      <c r="CN40" s="38"/>
      <c r="CO40" s="38"/>
      <c r="CP40" s="38"/>
      <c r="CQ40" s="38"/>
      <c r="CR40" s="38"/>
      <c r="CS40" s="60"/>
    </row>
    <row r="41" spans="1:97">
      <c r="A41" s="23">
        <v>20</v>
      </c>
      <c r="B41" s="24" t="s">
        <v>56</v>
      </c>
      <c r="C41" s="25"/>
      <c r="D41" s="25">
        <v>50</v>
      </c>
      <c r="E41" s="137" t="s">
        <v>115</v>
      </c>
      <c r="F41" s="38"/>
      <c r="G41" s="66"/>
      <c r="H41" s="60"/>
      <c r="I41" s="37"/>
      <c r="J41" s="27"/>
      <c r="K41" s="27"/>
      <c r="L41" s="27"/>
      <c r="M41" s="27"/>
      <c r="N41" s="27"/>
      <c r="O41" s="27"/>
      <c r="P41" s="27"/>
      <c r="Q41" s="27"/>
      <c r="R41" s="66"/>
      <c r="S41" s="38"/>
      <c r="T41" s="38"/>
      <c r="U41" s="38"/>
      <c r="V41" s="38"/>
      <c r="W41" s="38"/>
      <c r="X41" s="38"/>
      <c r="Y41" s="38"/>
      <c r="Z41" s="60"/>
      <c r="AA41" s="38"/>
      <c r="AB41" s="38"/>
      <c r="AC41" s="38"/>
      <c r="AD41" s="38"/>
      <c r="AE41" s="38"/>
      <c r="AF41" s="38"/>
      <c r="AG41" s="38"/>
      <c r="AH41" s="66"/>
      <c r="AI41" s="38"/>
      <c r="AJ41" s="60"/>
      <c r="AK41" s="38"/>
      <c r="AL41" s="38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>
        <v>50</v>
      </c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152"/>
      <c r="CJ41" s="152"/>
      <c r="CK41" s="38"/>
      <c r="CL41" s="38"/>
      <c r="CM41" s="38"/>
      <c r="CN41" s="38"/>
      <c r="CO41" s="38"/>
      <c r="CP41" s="38"/>
      <c r="CQ41" s="38"/>
      <c r="CR41" s="38"/>
      <c r="CS41" s="60"/>
    </row>
    <row r="42" spans="1:97">
      <c r="A42" s="28">
        <v>1</v>
      </c>
      <c r="B42" s="29" t="s">
        <v>84</v>
      </c>
      <c r="C42" s="29"/>
      <c r="D42" s="30">
        <v>200</v>
      </c>
      <c r="E42" s="139" t="s">
        <v>115</v>
      </c>
      <c r="F42" s="136"/>
      <c r="G42" s="42"/>
      <c r="H42" s="46"/>
      <c r="I42" s="32"/>
      <c r="J42" s="32"/>
      <c r="K42" s="32"/>
      <c r="L42" s="32"/>
      <c r="M42" s="32"/>
      <c r="N42" s="32"/>
      <c r="O42" s="32"/>
      <c r="P42" s="32"/>
      <c r="Q42" s="32"/>
      <c r="R42" s="42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136"/>
      <c r="AN42" s="136"/>
      <c r="AO42" s="136"/>
      <c r="AP42" s="136"/>
      <c r="AQ42" s="136"/>
      <c r="AR42" s="136"/>
      <c r="AS42" s="136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6"/>
    </row>
    <row r="43" spans="1:97">
      <c r="A43" s="28">
        <v>2</v>
      </c>
      <c r="B43" s="29" t="s">
        <v>34</v>
      </c>
      <c r="C43" s="29"/>
      <c r="D43" s="30">
        <v>200</v>
      </c>
      <c r="E43" s="139" t="s">
        <v>115</v>
      </c>
      <c r="F43" s="28"/>
      <c r="G43" s="36"/>
      <c r="H43" s="47"/>
      <c r="I43" s="32"/>
      <c r="J43" s="32"/>
      <c r="K43" s="32"/>
      <c r="L43" s="32"/>
      <c r="M43" s="32"/>
      <c r="N43" s="32"/>
      <c r="O43" s="32"/>
      <c r="P43" s="32"/>
      <c r="Q43" s="32"/>
      <c r="R43" s="36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28"/>
      <c r="AN43" s="28"/>
      <c r="AO43" s="28"/>
      <c r="AP43" s="28"/>
      <c r="AQ43" s="28"/>
      <c r="AR43" s="28"/>
      <c r="AS43" s="28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/>
      <c r="CS43" s="47"/>
    </row>
    <row r="44" spans="1:97">
      <c r="A44" s="28">
        <v>3</v>
      </c>
      <c r="B44" s="29" t="s">
        <v>36</v>
      </c>
      <c r="C44" s="29"/>
      <c r="D44" s="30">
        <v>600</v>
      </c>
      <c r="E44" s="139" t="s">
        <v>115</v>
      </c>
      <c r="F44" s="28"/>
      <c r="G44" s="36"/>
      <c r="H44" s="47"/>
      <c r="I44" s="32"/>
      <c r="J44" s="32"/>
      <c r="K44" s="32"/>
      <c r="L44" s="32"/>
      <c r="M44" s="32"/>
      <c r="N44" s="32"/>
      <c r="O44" s="32"/>
      <c r="P44" s="32"/>
      <c r="Q44" s="32"/>
      <c r="R44" s="36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28">
        <v>100</v>
      </c>
      <c r="AN44" s="28">
        <v>100</v>
      </c>
      <c r="AO44" s="28"/>
      <c r="AP44" s="28"/>
      <c r="AQ44" s="28"/>
      <c r="AR44" s="28"/>
      <c r="AS44" s="28"/>
      <c r="AT44" s="32"/>
      <c r="AU44" s="32"/>
      <c r="AV44" s="32"/>
      <c r="AW44" s="32"/>
      <c r="AX44" s="32"/>
      <c r="AY44" s="32"/>
      <c r="AZ44" s="32"/>
      <c r="BA44" s="28"/>
      <c r="BB44" s="28"/>
      <c r="BC44" s="28"/>
      <c r="BD44" s="28">
        <v>20</v>
      </c>
      <c r="BE44" s="28"/>
      <c r="BF44" s="28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>
        <v>200</v>
      </c>
      <c r="CJ44" s="32">
        <v>200</v>
      </c>
      <c r="CK44" s="32"/>
      <c r="CL44" s="32"/>
      <c r="CM44" s="32"/>
      <c r="CN44" s="32"/>
      <c r="CO44" s="32"/>
      <c r="CP44" s="32"/>
      <c r="CQ44" s="32"/>
      <c r="CR44" s="32"/>
      <c r="CS44" s="47"/>
    </row>
    <row r="45" spans="1:97">
      <c r="A45" s="28">
        <v>4</v>
      </c>
      <c r="B45" s="29" t="s">
        <v>37</v>
      </c>
      <c r="C45" s="29"/>
      <c r="D45" s="30">
        <v>550</v>
      </c>
      <c r="E45" s="139" t="s">
        <v>115</v>
      </c>
      <c r="F45" s="28"/>
      <c r="G45" s="36"/>
      <c r="H45" s="47"/>
      <c r="I45" s="32"/>
      <c r="J45" s="32"/>
      <c r="K45" s="32"/>
      <c r="L45" s="32"/>
      <c r="M45" s="32"/>
      <c r="N45" s="32"/>
      <c r="O45" s="32"/>
      <c r="P45" s="32"/>
      <c r="Q45" s="32"/>
      <c r="R45" s="36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28"/>
      <c r="AN45" s="28"/>
      <c r="AO45" s="28">
        <v>100</v>
      </c>
      <c r="AP45" s="28">
        <v>100</v>
      </c>
      <c r="AQ45" s="28"/>
      <c r="AR45" s="28"/>
      <c r="AS45" s="28"/>
      <c r="AT45" s="32"/>
      <c r="AU45" s="32"/>
      <c r="AV45" s="32"/>
      <c r="AW45" s="32"/>
      <c r="AX45" s="32"/>
      <c r="AY45" s="32"/>
      <c r="AZ45" s="32"/>
      <c r="BA45" s="28"/>
      <c r="BB45" s="28"/>
      <c r="BC45" s="28"/>
      <c r="BD45" s="28"/>
      <c r="BE45" s="28">
        <v>100</v>
      </c>
      <c r="BF45" s="28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>
        <v>200</v>
      </c>
      <c r="CL45" s="32">
        <v>150</v>
      </c>
      <c r="CM45" s="32"/>
      <c r="CN45" s="32"/>
      <c r="CO45" s="32"/>
      <c r="CP45" s="32"/>
      <c r="CQ45" s="32"/>
      <c r="CR45" s="32"/>
      <c r="CS45" s="47"/>
    </row>
    <row r="46" spans="1:97">
      <c r="A46" s="28">
        <v>5</v>
      </c>
      <c r="B46" s="29" t="s">
        <v>116</v>
      </c>
      <c r="C46" s="29"/>
      <c r="D46" s="30">
        <v>4000</v>
      </c>
      <c r="E46" s="139" t="s">
        <v>115</v>
      </c>
      <c r="F46" s="28"/>
      <c r="G46" s="36"/>
      <c r="H46" s="47"/>
      <c r="I46" s="32"/>
      <c r="J46" s="32"/>
      <c r="K46" s="32"/>
      <c r="L46" s="32"/>
      <c r="M46" s="32"/>
      <c r="N46" s="32"/>
      <c r="O46" s="45"/>
      <c r="P46" s="45"/>
      <c r="Q46" s="45"/>
      <c r="R46" s="36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28"/>
      <c r="AN46" s="28"/>
      <c r="AO46" s="28"/>
      <c r="AP46" s="28"/>
      <c r="AQ46" s="28">
        <v>100</v>
      </c>
      <c r="AR46" s="28">
        <v>100</v>
      </c>
      <c r="AS46" s="28">
        <v>100</v>
      </c>
      <c r="AT46" s="32"/>
      <c r="AU46" s="32"/>
      <c r="AV46" s="32"/>
      <c r="AW46" s="32"/>
      <c r="AX46" s="32"/>
      <c r="AY46" s="32"/>
      <c r="AZ46" s="32"/>
      <c r="BA46" s="28">
        <v>100</v>
      </c>
      <c r="BB46" s="28">
        <v>100</v>
      </c>
      <c r="BC46" s="28">
        <v>150</v>
      </c>
      <c r="BD46" s="28">
        <v>150</v>
      </c>
      <c r="BE46" s="28">
        <v>100</v>
      </c>
      <c r="BF46" s="28">
        <v>252</v>
      </c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>
        <v>300</v>
      </c>
      <c r="BZ46" s="32">
        <v>300</v>
      </c>
      <c r="CA46" s="32">
        <v>300</v>
      </c>
      <c r="CB46" s="32"/>
      <c r="CC46" s="32">
        <v>200</v>
      </c>
      <c r="CD46" s="32">
        <v>200</v>
      </c>
      <c r="CE46" s="32"/>
      <c r="CF46" s="32">
        <v>200</v>
      </c>
      <c r="CG46" s="32">
        <v>200</v>
      </c>
      <c r="CH46" s="32"/>
      <c r="CI46" s="32"/>
      <c r="CJ46" s="32"/>
      <c r="CK46" s="32"/>
      <c r="CL46" s="32"/>
      <c r="CM46" s="32">
        <f>300+300</f>
        <v>600</v>
      </c>
      <c r="CN46" s="32"/>
      <c r="CO46" s="32"/>
      <c r="CP46" s="32">
        <v>250</v>
      </c>
      <c r="CQ46" s="32">
        <v>250</v>
      </c>
      <c r="CR46" s="32">
        <v>250</v>
      </c>
      <c r="CS46" s="47">
        <v>250</v>
      </c>
    </row>
    <row r="47" spans="1:97">
      <c r="A47" s="28">
        <v>6</v>
      </c>
      <c r="B47" s="29" t="s">
        <v>41</v>
      </c>
      <c r="C47" s="29"/>
      <c r="D47" s="30">
        <v>250</v>
      </c>
      <c r="E47" s="139" t="s">
        <v>115</v>
      </c>
      <c r="F47" s="28"/>
      <c r="G47" s="36"/>
      <c r="H47" s="47"/>
      <c r="I47" s="32"/>
      <c r="J47" s="32"/>
      <c r="K47" s="32"/>
      <c r="L47" s="32"/>
      <c r="M47" s="32"/>
      <c r="N47" s="32"/>
      <c r="O47" s="45"/>
      <c r="P47" s="45"/>
      <c r="Q47" s="45"/>
      <c r="R47" s="36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28"/>
      <c r="AN47" s="28"/>
      <c r="AO47" s="28"/>
      <c r="AP47" s="28"/>
      <c r="AQ47" s="28"/>
      <c r="AR47" s="28"/>
      <c r="AS47" s="28"/>
      <c r="AT47" s="32"/>
      <c r="AU47" s="32"/>
      <c r="AV47" s="32"/>
      <c r="AW47" s="32"/>
      <c r="AX47" s="32"/>
      <c r="AY47" s="32"/>
      <c r="AZ47" s="32"/>
      <c r="BA47" s="28"/>
      <c r="BB47" s="28"/>
      <c r="BC47" s="28"/>
      <c r="BD47" s="28"/>
      <c r="BE47" s="28"/>
      <c r="BF47" s="28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47"/>
    </row>
    <row r="48" spans="1:97">
      <c r="A48" s="28">
        <v>7</v>
      </c>
      <c r="B48" s="29" t="s">
        <v>119</v>
      </c>
      <c r="C48" s="29"/>
      <c r="D48" s="30">
        <v>250</v>
      </c>
      <c r="E48" s="139" t="s">
        <v>115</v>
      </c>
      <c r="F48" s="28"/>
      <c r="G48" s="36"/>
      <c r="H48" s="32"/>
      <c r="I48" s="43"/>
      <c r="J48" s="43"/>
      <c r="K48" s="43"/>
      <c r="L48" s="43"/>
      <c r="M48" s="43"/>
      <c r="N48" s="43"/>
      <c r="O48" s="43"/>
      <c r="P48" s="43"/>
      <c r="Q48" s="43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28"/>
      <c r="AN48" s="28"/>
      <c r="AO48" s="28"/>
      <c r="AP48" s="28"/>
      <c r="AQ48" s="28"/>
      <c r="AR48" s="28"/>
      <c r="AS48" s="28"/>
      <c r="AT48" s="32"/>
      <c r="AU48" s="32"/>
      <c r="AV48" s="32"/>
      <c r="AW48" s="32"/>
      <c r="AX48" s="32"/>
      <c r="AY48" s="32"/>
      <c r="AZ48" s="32"/>
      <c r="BA48" s="28"/>
      <c r="BB48" s="28"/>
      <c r="BC48" s="28"/>
      <c r="BD48" s="28"/>
      <c r="BE48" s="28"/>
      <c r="BF48" s="28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47"/>
    </row>
    <row r="49" spans="1:97">
      <c r="A49" s="28">
        <v>8</v>
      </c>
      <c r="B49" s="29" t="s">
        <v>44</v>
      </c>
      <c r="C49" s="29"/>
      <c r="D49" s="30">
        <v>0</v>
      </c>
      <c r="E49" s="139" t="s">
        <v>115</v>
      </c>
      <c r="F49" s="28"/>
      <c r="G49" s="36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28"/>
      <c r="AN49" s="28"/>
      <c r="AO49" s="28"/>
      <c r="AP49" s="28"/>
      <c r="AQ49" s="28"/>
      <c r="AR49" s="28"/>
      <c r="AS49" s="28"/>
      <c r="AT49" s="32"/>
      <c r="AU49" s="32"/>
      <c r="AV49" s="32"/>
      <c r="AW49" s="32"/>
      <c r="AX49" s="32"/>
      <c r="AY49" s="32"/>
      <c r="AZ49" s="32"/>
      <c r="BA49" s="28"/>
      <c r="BB49" s="28"/>
      <c r="BC49" s="28"/>
      <c r="BD49" s="28"/>
      <c r="BE49" s="28"/>
      <c r="BF49" s="28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32"/>
      <c r="CR49" s="32"/>
      <c r="CS49" s="47"/>
    </row>
    <row r="50" spans="1:97">
      <c r="A50" s="28">
        <v>9</v>
      </c>
      <c r="B50" s="29" t="s">
        <v>120</v>
      </c>
      <c r="C50" s="29"/>
      <c r="D50" s="30">
        <v>0</v>
      </c>
      <c r="E50" s="139" t="s">
        <v>115</v>
      </c>
      <c r="F50" s="28"/>
      <c r="G50" s="36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28"/>
      <c r="AN50" s="28"/>
      <c r="AO50" s="28"/>
      <c r="AP50" s="28"/>
      <c r="AQ50" s="28"/>
      <c r="AR50" s="28"/>
      <c r="AS50" s="28"/>
      <c r="AT50" s="32"/>
      <c r="AU50" s="32"/>
      <c r="AV50" s="32"/>
      <c r="AW50" s="32"/>
      <c r="AX50" s="32"/>
      <c r="AY50" s="32"/>
      <c r="AZ50" s="32"/>
      <c r="BA50" s="28"/>
      <c r="BB50" s="28"/>
      <c r="BC50" s="28"/>
      <c r="BD50" s="28"/>
      <c r="BE50" s="28"/>
      <c r="BF50" s="28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47"/>
    </row>
    <row r="51" spans="1:97">
      <c r="A51" s="28">
        <v>10</v>
      </c>
      <c r="B51" s="29" t="s">
        <v>47</v>
      </c>
      <c r="C51" s="29"/>
      <c r="D51" s="30">
        <v>324</v>
      </c>
      <c r="E51" s="139" t="s">
        <v>115</v>
      </c>
      <c r="F51" s="28"/>
      <c r="G51" s="36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28"/>
      <c r="AN51" s="28"/>
      <c r="AO51" s="28"/>
      <c r="AP51" s="28"/>
      <c r="AQ51" s="28"/>
      <c r="AR51" s="28"/>
      <c r="AS51" s="28"/>
      <c r="AT51" s="32"/>
      <c r="AU51" s="32"/>
      <c r="AV51" s="32"/>
      <c r="AW51" s="32"/>
      <c r="AX51" s="32"/>
      <c r="AY51" s="32"/>
      <c r="AZ51" s="32"/>
      <c r="BA51" s="28">
        <v>40</v>
      </c>
      <c r="BB51" s="28">
        <v>40</v>
      </c>
      <c r="BC51" s="28">
        <v>40</v>
      </c>
      <c r="BD51" s="28">
        <v>40</v>
      </c>
      <c r="BE51" s="28">
        <v>40</v>
      </c>
      <c r="BF51" s="28">
        <v>40</v>
      </c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47"/>
    </row>
    <row r="52" spans="1:97">
      <c r="A52" s="28">
        <v>11</v>
      </c>
      <c r="B52" s="29" t="s">
        <v>49</v>
      </c>
      <c r="C52" s="29"/>
      <c r="D52" s="30">
        <v>800</v>
      </c>
      <c r="E52" s="139" t="s">
        <v>50</v>
      </c>
      <c r="F52" s="28"/>
      <c r="G52" s="36"/>
      <c r="H52" s="32"/>
      <c r="I52" s="32"/>
      <c r="J52" s="32"/>
      <c r="K52" s="32"/>
      <c r="L52" s="32"/>
      <c r="M52" s="32"/>
      <c r="N52" s="32"/>
      <c r="O52" s="45"/>
      <c r="P52" s="45"/>
      <c r="Q52" s="45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28"/>
      <c r="AN52" s="28"/>
      <c r="AO52" s="28"/>
      <c r="AP52" s="28"/>
      <c r="AQ52" s="28"/>
      <c r="AR52" s="28"/>
      <c r="AS52" s="28"/>
      <c r="AT52" s="32"/>
      <c r="AU52" s="32"/>
      <c r="AV52" s="32"/>
      <c r="AW52" s="32"/>
      <c r="AX52" s="32"/>
      <c r="AY52" s="32"/>
      <c r="AZ52" s="32"/>
      <c r="BA52" s="28"/>
      <c r="BB52" s="28"/>
      <c r="BC52" s="28"/>
      <c r="BD52" s="28"/>
      <c r="BE52" s="28"/>
      <c r="BF52" s="28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>
        <v>50</v>
      </c>
      <c r="CK52" s="32"/>
      <c r="CL52" s="32"/>
      <c r="CM52" s="32"/>
      <c r="CN52" s="32"/>
      <c r="CO52" s="32"/>
      <c r="CP52" s="32"/>
      <c r="CQ52" s="32"/>
      <c r="CR52" s="32"/>
      <c r="CS52" s="47"/>
    </row>
    <row r="53" spans="1:97">
      <c r="A53" s="28">
        <v>12</v>
      </c>
      <c r="B53" s="29" t="s">
        <v>51</v>
      </c>
      <c r="C53" s="29"/>
      <c r="D53" s="30">
        <v>1600</v>
      </c>
      <c r="E53" s="139" t="s">
        <v>50</v>
      </c>
      <c r="F53" s="28"/>
      <c r="G53" s="36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28"/>
      <c r="BB53" s="28"/>
      <c r="BC53" s="28"/>
      <c r="BD53" s="28"/>
      <c r="BE53" s="28"/>
      <c r="BF53" s="28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>
        <v>100</v>
      </c>
      <c r="CK53" s="32">
        <v>100</v>
      </c>
      <c r="CL53" s="32">
        <v>100</v>
      </c>
      <c r="CM53" s="32">
        <v>99</v>
      </c>
      <c r="CN53" s="32"/>
      <c r="CO53" s="32"/>
      <c r="CP53" s="32"/>
      <c r="CQ53" s="32"/>
      <c r="CR53" s="32"/>
      <c r="CS53" s="47"/>
    </row>
    <row r="54" spans="1:97" ht="16.5" customHeight="1">
      <c r="A54" s="28">
        <v>13</v>
      </c>
      <c r="B54" s="29" t="s">
        <v>118</v>
      </c>
      <c r="C54" s="29"/>
      <c r="D54" s="30">
        <v>1255</v>
      </c>
      <c r="E54" s="139" t="s">
        <v>50</v>
      </c>
      <c r="F54" s="28"/>
      <c r="G54" s="36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28"/>
      <c r="BB54" s="28"/>
      <c r="BC54" s="28"/>
      <c r="BD54" s="28"/>
      <c r="BE54" s="28"/>
      <c r="BF54" s="28">
        <v>70</v>
      </c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>
        <v>50</v>
      </c>
      <c r="BW54" s="32"/>
      <c r="BX54" s="32">
        <v>100</v>
      </c>
      <c r="BY54" s="32">
        <v>100</v>
      </c>
      <c r="BZ54" s="32">
        <v>100</v>
      </c>
      <c r="CA54" s="32">
        <v>100</v>
      </c>
      <c r="CB54" s="32"/>
      <c r="CC54" s="32">
        <v>100</v>
      </c>
      <c r="CD54" s="32">
        <v>100</v>
      </c>
      <c r="CE54" s="32">
        <v>100</v>
      </c>
      <c r="CF54" s="32">
        <v>100</v>
      </c>
      <c r="CG54" s="32">
        <v>100</v>
      </c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47"/>
    </row>
    <row r="55" spans="1:97">
      <c r="A55" s="28">
        <v>14</v>
      </c>
      <c r="B55" s="29" t="s">
        <v>29</v>
      </c>
      <c r="C55" s="29"/>
      <c r="D55" s="30">
        <v>350</v>
      </c>
      <c r="E55" s="139" t="s">
        <v>50</v>
      </c>
      <c r="F55" s="28"/>
      <c r="G55" s="36"/>
      <c r="H55" s="32"/>
      <c r="I55" s="32"/>
      <c r="J55" s="32"/>
      <c r="K55" s="28"/>
      <c r="L55" s="28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28"/>
      <c r="BB55" s="28"/>
      <c r="BC55" s="28"/>
      <c r="BD55" s="28"/>
      <c r="BE55" s="28"/>
      <c r="BF55" s="28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32"/>
      <c r="CR55" s="32"/>
      <c r="CS55" s="47"/>
    </row>
    <row r="56" spans="1:97">
      <c r="A56" s="28">
        <v>15</v>
      </c>
      <c r="B56" s="29" t="s">
        <v>22</v>
      </c>
      <c r="C56" s="29"/>
      <c r="D56" s="30">
        <v>550</v>
      </c>
      <c r="E56" s="139" t="s">
        <v>50</v>
      </c>
      <c r="F56" s="28"/>
      <c r="G56" s="36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28"/>
      <c r="BB56" s="28"/>
      <c r="BC56" s="28"/>
      <c r="BD56" s="28"/>
      <c r="BE56" s="28"/>
      <c r="BF56" s="28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47"/>
    </row>
    <row r="57" spans="1:97">
      <c r="A57" s="28">
        <v>16</v>
      </c>
      <c r="B57" s="29" t="s">
        <v>121</v>
      </c>
      <c r="C57" s="29"/>
      <c r="D57" s="30">
        <v>0</v>
      </c>
      <c r="E57" s="139" t="s">
        <v>50</v>
      </c>
      <c r="F57" s="28"/>
      <c r="G57" s="36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28"/>
      <c r="BB57" s="28"/>
      <c r="BC57" s="28"/>
      <c r="BD57" s="28"/>
      <c r="BE57" s="28"/>
      <c r="BF57" s="28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47"/>
    </row>
    <row r="58" spans="1:97">
      <c r="A58" s="28">
        <v>17</v>
      </c>
      <c r="B58" s="29" t="s">
        <v>72</v>
      </c>
      <c r="C58" s="29"/>
      <c r="D58" s="30">
        <v>250</v>
      </c>
      <c r="E58" s="139" t="s">
        <v>50</v>
      </c>
      <c r="F58" s="28"/>
      <c r="G58" s="36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28"/>
      <c r="BB58" s="28"/>
      <c r="BC58" s="28"/>
      <c r="BD58" s="28"/>
      <c r="BE58" s="28"/>
      <c r="BF58" s="28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47"/>
    </row>
    <row r="59" spans="1:97">
      <c r="A59" s="28">
        <v>18</v>
      </c>
      <c r="B59" s="29" t="s">
        <v>61</v>
      </c>
      <c r="C59" s="29"/>
      <c r="D59" s="30">
        <v>250</v>
      </c>
      <c r="E59" s="139" t="s">
        <v>50</v>
      </c>
      <c r="F59" s="28"/>
      <c r="G59" s="36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47"/>
    </row>
    <row r="60" spans="1:97">
      <c r="A60" s="28">
        <v>19</v>
      </c>
      <c r="B60" s="29" t="s">
        <v>55</v>
      </c>
      <c r="C60" s="29"/>
      <c r="D60" s="30">
        <v>50</v>
      </c>
      <c r="E60" s="139" t="s">
        <v>115</v>
      </c>
      <c r="F60" s="28"/>
      <c r="G60" s="36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>
        <v>50</v>
      </c>
      <c r="BX60" s="32"/>
      <c r="BY60" s="32"/>
      <c r="BZ60" s="32"/>
      <c r="CA60" s="32"/>
      <c r="CB60" s="32"/>
      <c r="CC60" s="32"/>
      <c r="CD60" s="32"/>
      <c r="CE60" s="32">
        <v>50</v>
      </c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47"/>
    </row>
    <row r="61" spans="1:97">
      <c r="A61" s="28">
        <v>20</v>
      </c>
      <c r="B61" s="29" t="s">
        <v>56</v>
      </c>
      <c r="C61" s="29"/>
      <c r="D61" s="30">
        <v>50</v>
      </c>
      <c r="E61" s="139" t="s">
        <v>115</v>
      </c>
      <c r="F61" s="28"/>
      <c r="G61" s="36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>
        <v>50</v>
      </c>
      <c r="BY61" s="32"/>
      <c r="BZ61" s="32"/>
      <c r="CA61" s="32"/>
      <c r="CB61" s="32"/>
      <c r="CC61" s="32"/>
      <c r="CD61" s="32"/>
      <c r="CE61" s="32">
        <v>50</v>
      </c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32"/>
      <c r="CR61" s="32"/>
      <c r="CS61" s="47"/>
    </row>
    <row r="62" spans="1:97">
      <c r="A62" s="52">
        <v>1</v>
      </c>
      <c r="B62" s="53" t="s">
        <v>84</v>
      </c>
      <c r="C62" s="53"/>
      <c r="D62" s="54">
        <v>200</v>
      </c>
      <c r="E62" s="140" t="s">
        <v>115</v>
      </c>
      <c r="F62" s="52"/>
      <c r="G62" s="134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159"/>
    </row>
    <row r="63" spans="1:97">
      <c r="A63" s="52">
        <v>2</v>
      </c>
      <c r="B63" s="53" t="s">
        <v>34</v>
      </c>
      <c r="C63" s="53"/>
      <c r="D63" s="54">
        <v>200</v>
      </c>
      <c r="E63" s="140" t="s">
        <v>115</v>
      </c>
      <c r="F63" s="52"/>
      <c r="G63" s="134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159"/>
    </row>
    <row r="64" spans="1:97">
      <c r="A64" s="52">
        <v>3</v>
      </c>
      <c r="B64" s="53" t="s">
        <v>36</v>
      </c>
      <c r="C64" s="53"/>
      <c r="D64" s="54">
        <v>600</v>
      </c>
      <c r="E64" s="140" t="s">
        <v>115</v>
      </c>
      <c r="F64" s="52"/>
      <c r="G64" s="134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>
        <v>60</v>
      </c>
      <c r="AQ64" s="56">
        <v>40</v>
      </c>
      <c r="AR64" s="56"/>
      <c r="AS64" s="56"/>
      <c r="AT64" s="56"/>
      <c r="AU64" s="56">
        <v>80</v>
      </c>
      <c r="AV64" s="56"/>
      <c r="AW64" s="56"/>
      <c r="AX64" s="56"/>
      <c r="AY64" s="56"/>
      <c r="AZ64" s="56"/>
      <c r="BA64" s="56"/>
      <c r="BB64" s="56"/>
      <c r="BC64" s="56">
        <v>20</v>
      </c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>
        <v>55</v>
      </c>
      <c r="CN64" s="56">
        <v>200</v>
      </c>
      <c r="CO64" s="56"/>
      <c r="CP64" s="56"/>
      <c r="CQ64" s="56"/>
      <c r="CR64" s="56"/>
      <c r="CS64" s="159"/>
    </row>
    <row r="65" spans="1:97">
      <c r="A65" s="52">
        <v>4</v>
      </c>
      <c r="B65" s="53" t="s">
        <v>37</v>
      </c>
      <c r="C65" s="53"/>
      <c r="D65" s="54">
        <v>550</v>
      </c>
      <c r="E65" s="140" t="s">
        <v>115</v>
      </c>
      <c r="F65" s="52"/>
      <c r="G65" s="134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>
        <v>70</v>
      </c>
      <c r="AP65" s="56">
        <v>30</v>
      </c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>
        <v>89</v>
      </c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>
        <v>200</v>
      </c>
      <c r="CP65" s="56">
        <v>150</v>
      </c>
      <c r="CQ65" s="56"/>
      <c r="CR65" s="56"/>
      <c r="CS65" s="159"/>
    </row>
    <row r="66" spans="1:97">
      <c r="A66" s="52">
        <v>5</v>
      </c>
      <c r="B66" s="53" t="s">
        <v>116</v>
      </c>
      <c r="C66" s="53"/>
      <c r="D66" s="54">
        <v>4000</v>
      </c>
      <c r="E66" s="140" t="s">
        <v>115</v>
      </c>
      <c r="F66" s="52"/>
      <c r="G66" s="134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>
        <v>15</v>
      </c>
      <c r="BC66" s="56"/>
      <c r="BD66" s="56">
        <v>50</v>
      </c>
      <c r="BE66" s="56">
        <v>150</v>
      </c>
      <c r="BF66" s="56">
        <v>85</v>
      </c>
      <c r="BG66" s="56"/>
      <c r="BH66" s="56"/>
      <c r="BI66" s="56">
        <v>15</v>
      </c>
      <c r="BJ66" s="56">
        <v>15</v>
      </c>
      <c r="BK66" s="56">
        <v>30</v>
      </c>
      <c r="BL66" s="56">
        <v>30</v>
      </c>
      <c r="BM66" s="56">
        <v>350</v>
      </c>
      <c r="BN66" s="56">
        <v>20</v>
      </c>
      <c r="BO66" s="56">
        <v>182</v>
      </c>
      <c r="BP66" s="56"/>
      <c r="BQ66" s="56"/>
      <c r="BR66" s="56"/>
      <c r="BS66" s="56">
        <v>85</v>
      </c>
      <c r="BT66" s="56"/>
      <c r="BU66" s="56"/>
      <c r="BV66" s="56"/>
      <c r="BW66" s="56"/>
      <c r="BX66" s="56"/>
      <c r="BY66" s="56"/>
      <c r="BZ66" s="56"/>
      <c r="CA66" s="56">
        <v>300</v>
      </c>
      <c r="CB66" s="56"/>
      <c r="CC66" s="56">
        <v>28</v>
      </c>
      <c r="CD66" s="56">
        <v>60</v>
      </c>
      <c r="CE66" s="56">
        <v>222</v>
      </c>
      <c r="CF66" s="56"/>
      <c r="CG66" s="56"/>
      <c r="CH66" s="56"/>
      <c r="CI66" s="56"/>
      <c r="CJ66" s="56"/>
      <c r="CK66" s="56"/>
      <c r="CL66" s="56"/>
      <c r="CM66" s="56">
        <v>49</v>
      </c>
      <c r="CN66" s="56"/>
      <c r="CO66" s="56"/>
      <c r="CP66" s="56">
        <v>150</v>
      </c>
      <c r="CQ66" s="56">
        <v>322</v>
      </c>
      <c r="CR66" s="56">
        <v>300</v>
      </c>
      <c r="CS66" s="159">
        <v>293</v>
      </c>
    </row>
    <row r="67" spans="1:97">
      <c r="A67" s="52">
        <v>6</v>
      </c>
      <c r="B67" s="53" t="s">
        <v>41</v>
      </c>
      <c r="C67" s="53"/>
      <c r="D67" s="54">
        <v>250</v>
      </c>
      <c r="E67" s="140" t="s">
        <v>115</v>
      </c>
      <c r="F67" s="52"/>
      <c r="G67" s="134"/>
      <c r="H67" s="56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>
        <v>10</v>
      </c>
      <c r="BJ67" s="56"/>
      <c r="BK67" s="56">
        <v>21</v>
      </c>
      <c r="BL67" s="56">
        <v>20</v>
      </c>
      <c r="BM67" s="56">
        <v>20</v>
      </c>
      <c r="BN67" s="56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159"/>
    </row>
    <row r="68" spans="1:97">
      <c r="A68" s="52">
        <v>7</v>
      </c>
      <c r="B68" s="53" t="s">
        <v>119</v>
      </c>
      <c r="C68" s="53"/>
      <c r="D68" s="54">
        <v>250</v>
      </c>
      <c r="E68" s="140" t="s">
        <v>115</v>
      </c>
      <c r="F68" s="52"/>
      <c r="G68" s="134"/>
      <c r="H68" s="56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2"/>
      <c r="BP68" s="52"/>
      <c r="BQ68" s="52">
        <v>20</v>
      </c>
      <c r="BR68" s="52">
        <v>20</v>
      </c>
      <c r="BS68" s="52"/>
      <c r="BT68" s="52">
        <v>10</v>
      </c>
      <c r="BU68" s="52"/>
      <c r="BV68" s="52"/>
      <c r="BW68" s="52"/>
      <c r="BX68" s="52"/>
      <c r="BY68" s="52"/>
      <c r="BZ68" s="52"/>
      <c r="CA68" s="52"/>
      <c r="CB68" s="52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159"/>
    </row>
    <row r="69" spans="1:97">
      <c r="A69" s="52">
        <v>8</v>
      </c>
      <c r="B69" s="53" t="s">
        <v>44</v>
      </c>
      <c r="C69" s="53"/>
      <c r="D69" s="54">
        <v>0</v>
      </c>
      <c r="E69" s="140" t="s">
        <v>115</v>
      </c>
      <c r="F69" s="52"/>
      <c r="G69" s="134"/>
      <c r="H69" s="56"/>
      <c r="I69" s="52"/>
      <c r="J69" s="52"/>
      <c r="K69" s="52"/>
      <c r="L69" s="52"/>
      <c r="M69" s="52"/>
      <c r="N69" s="52">
        <v>50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2"/>
      <c r="BP69" s="52">
        <v>40</v>
      </c>
      <c r="BQ69" s="52">
        <v>40</v>
      </c>
      <c r="BR69" s="52">
        <v>40</v>
      </c>
      <c r="BS69" s="52">
        <v>60</v>
      </c>
      <c r="BT69" s="52">
        <v>40</v>
      </c>
      <c r="BU69" s="52"/>
      <c r="BV69" s="52"/>
      <c r="BW69" s="52"/>
      <c r="BX69" s="52"/>
      <c r="BY69" s="52"/>
      <c r="BZ69" s="52"/>
      <c r="CA69" s="52"/>
      <c r="CB69" s="52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159"/>
    </row>
    <row r="70" spans="1:97">
      <c r="A70" s="52">
        <v>9</v>
      </c>
      <c r="B70" s="53" t="s">
        <v>120</v>
      </c>
      <c r="C70" s="53"/>
      <c r="D70" s="54">
        <v>0</v>
      </c>
      <c r="E70" s="140" t="s">
        <v>115</v>
      </c>
      <c r="F70" s="52"/>
      <c r="G70" s="134"/>
      <c r="H70" s="56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159"/>
    </row>
    <row r="71" spans="1:97">
      <c r="A71" s="52">
        <v>10</v>
      </c>
      <c r="B71" s="53" t="s">
        <v>47</v>
      </c>
      <c r="C71" s="53"/>
      <c r="D71" s="54">
        <v>324</v>
      </c>
      <c r="E71" s="140" t="s">
        <v>115</v>
      </c>
      <c r="F71" s="52"/>
      <c r="G71" s="134"/>
      <c r="H71" s="56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6"/>
      <c r="AZ71" s="56"/>
      <c r="BA71" s="56">
        <v>12</v>
      </c>
      <c r="BB71" s="56">
        <v>18</v>
      </c>
      <c r="BC71" s="56">
        <v>40</v>
      </c>
      <c r="BD71" s="56">
        <v>40</v>
      </c>
      <c r="BE71" s="56">
        <v>40</v>
      </c>
      <c r="BF71" s="56">
        <v>40</v>
      </c>
      <c r="BG71" s="56"/>
      <c r="BH71" s="56">
        <v>40</v>
      </c>
      <c r="BI71" s="56"/>
      <c r="BJ71" s="56">
        <v>15</v>
      </c>
      <c r="BK71" s="56">
        <v>6</v>
      </c>
      <c r="BL71" s="56"/>
      <c r="BM71" s="56"/>
      <c r="BN71" s="56"/>
      <c r="BO71" s="52">
        <v>40</v>
      </c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>
        <v>10</v>
      </c>
      <c r="CO71" s="56">
        <v>20</v>
      </c>
      <c r="CP71" s="56"/>
      <c r="CQ71" s="56"/>
      <c r="CR71" s="56"/>
      <c r="CS71" s="159"/>
    </row>
    <row r="72" spans="1:97">
      <c r="A72" s="52">
        <v>11</v>
      </c>
      <c r="B72" s="53" t="s">
        <v>49</v>
      </c>
      <c r="C72" s="53"/>
      <c r="D72" s="54">
        <v>800</v>
      </c>
      <c r="E72" s="140" t="s">
        <v>50</v>
      </c>
      <c r="F72" s="52"/>
      <c r="G72" s="134"/>
      <c r="H72" s="56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>
        <v>179</v>
      </c>
      <c r="V72" s="52">
        <v>121</v>
      </c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>
        <v>100</v>
      </c>
      <c r="AN72" s="52"/>
      <c r="AO72" s="52">
        <v>150</v>
      </c>
      <c r="AP72" s="52">
        <v>50</v>
      </c>
      <c r="AQ72" s="52"/>
      <c r="AR72" s="52"/>
      <c r="AS72" s="52"/>
      <c r="AT72" s="52"/>
      <c r="AU72" s="52"/>
      <c r="AV72" s="52"/>
      <c r="AW72" s="52"/>
      <c r="AX72" s="52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2"/>
      <c r="BP72" s="52"/>
      <c r="BQ72" s="52"/>
      <c r="BR72" s="52"/>
      <c r="BS72" s="52"/>
      <c r="BT72" s="52"/>
      <c r="BU72" s="52"/>
      <c r="BV72" s="52"/>
      <c r="BW72" s="52">
        <v>20</v>
      </c>
      <c r="BX72" s="52"/>
      <c r="BY72" s="52"/>
      <c r="BZ72" s="52"/>
      <c r="CA72" s="52"/>
      <c r="CB72" s="52"/>
      <c r="CC72" s="56"/>
      <c r="CD72" s="56"/>
      <c r="CE72" s="56"/>
      <c r="CF72" s="56">
        <v>103</v>
      </c>
      <c r="CG72" s="56"/>
      <c r="CH72" s="56"/>
      <c r="CI72" s="56"/>
      <c r="CJ72" s="56"/>
      <c r="CK72" s="56"/>
      <c r="CL72" s="56"/>
      <c r="CM72" s="56"/>
      <c r="CN72" s="56"/>
      <c r="CO72" s="56"/>
      <c r="CP72" s="56">
        <v>9</v>
      </c>
      <c r="CQ72" s="56">
        <v>18</v>
      </c>
      <c r="CR72" s="56"/>
      <c r="CS72" s="159"/>
    </row>
    <row r="73" spans="1:97" s="158" customFormat="1">
      <c r="A73" s="52">
        <v>12</v>
      </c>
      <c r="B73" s="140" t="s">
        <v>51</v>
      </c>
      <c r="C73" s="54"/>
      <c r="D73" s="54">
        <v>1600</v>
      </c>
      <c r="E73" s="140" t="s">
        <v>50</v>
      </c>
      <c r="F73" s="52"/>
      <c r="G73" s="134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>
        <v>40</v>
      </c>
      <c r="W73" s="52">
        <v>110</v>
      </c>
      <c r="X73" s="52"/>
      <c r="Y73" s="52"/>
      <c r="Z73" s="52"/>
      <c r="AA73" s="52"/>
      <c r="AB73" s="52">
        <v>130</v>
      </c>
      <c r="AC73" s="52">
        <v>150</v>
      </c>
      <c r="AD73" s="52">
        <v>170</v>
      </c>
      <c r="AE73" s="52"/>
      <c r="AF73" s="52"/>
      <c r="AG73" s="52"/>
      <c r="AH73" s="52"/>
      <c r="AI73" s="52"/>
      <c r="AJ73" s="52"/>
      <c r="AK73" s="52"/>
      <c r="AL73" s="52"/>
      <c r="AM73" s="52"/>
      <c r="AN73" s="52">
        <v>147</v>
      </c>
      <c r="AO73" s="52">
        <v>3</v>
      </c>
      <c r="AP73" s="52">
        <v>85</v>
      </c>
      <c r="AQ73" s="52">
        <v>110</v>
      </c>
      <c r="AR73" s="52"/>
      <c r="AS73" s="52"/>
      <c r="AT73" s="52">
        <v>98</v>
      </c>
      <c r="AU73" s="52">
        <v>35</v>
      </c>
      <c r="AV73" s="52">
        <v>22</v>
      </c>
      <c r="AW73" s="52"/>
      <c r="AX73" s="52"/>
      <c r="AY73" s="52"/>
      <c r="AZ73" s="52"/>
      <c r="BA73" s="52"/>
      <c r="BB73" s="52"/>
      <c r="BC73" s="52"/>
      <c r="BD73" s="52"/>
      <c r="BE73" s="52"/>
      <c r="BF73" s="52">
        <v>32</v>
      </c>
      <c r="BG73" s="52"/>
      <c r="BH73" s="52">
        <v>24</v>
      </c>
      <c r="BI73" s="52">
        <v>13</v>
      </c>
      <c r="BJ73" s="52">
        <v>13</v>
      </c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>
        <v>19</v>
      </c>
      <c r="BX73" s="52"/>
      <c r="BY73" s="52"/>
      <c r="BZ73" s="52"/>
      <c r="CA73" s="52"/>
      <c r="CB73" s="52"/>
      <c r="CC73" s="52"/>
      <c r="CD73" s="52"/>
      <c r="CE73" s="52"/>
      <c r="CF73" s="52"/>
      <c r="CG73" s="52">
        <v>102</v>
      </c>
      <c r="CH73" s="52">
        <v>73</v>
      </c>
      <c r="CI73" s="52"/>
      <c r="CJ73" s="52">
        <v>50</v>
      </c>
      <c r="CK73" s="52"/>
      <c r="CL73" s="52">
        <v>16</v>
      </c>
      <c r="CM73" s="52"/>
      <c r="CN73" s="52"/>
      <c r="CO73" s="52">
        <v>6</v>
      </c>
      <c r="CP73" s="52">
        <v>10</v>
      </c>
      <c r="CQ73" s="52"/>
      <c r="CR73" s="52"/>
      <c r="CS73" s="146"/>
    </row>
    <row r="74" spans="1:97">
      <c r="A74" s="52">
        <v>13</v>
      </c>
      <c r="B74" s="53" t="s">
        <v>118</v>
      </c>
      <c r="C74" s="53"/>
      <c r="D74" s="54">
        <v>1255</v>
      </c>
      <c r="E74" s="140" t="s">
        <v>50</v>
      </c>
      <c r="F74" s="52"/>
      <c r="G74" s="134"/>
      <c r="H74" s="56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>
        <v>50</v>
      </c>
      <c r="BJ74" s="56">
        <v>33</v>
      </c>
      <c r="BK74" s="56">
        <v>53</v>
      </c>
      <c r="BL74" s="56">
        <v>30</v>
      </c>
      <c r="BM74" s="56">
        <v>64</v>
      </c>
      <c r="BN74" s="56"/>
      <c r="BO74" s="52">
        <v>54</v>
      </c>
      <c r="BP74" s="52">
        <v>44</v>
      </c>
      <c r="BQ74" s="52">
        <v>28</v>
      </c>
      <c r="BR74" s="52"/>
      <c r="BS74" s="52">
        <v>44</v>
      </c>
      <c r="BT74" s="52">
        <v>42</v>
      </c>
      <c r="BU74" s="52">
        <v>50</v>
      </c>
      <c r="BV74" s="52">
        <v>27</v>
      </c>
      <c r="BW74" s="52">
        <v>10</v>
      </c>
      <c r="BX74" s="52">
        <v>43</v>
      </c>
      <c r="BY74" s="52">
        <v>50</v>
      </c>
      <c r="BZ74" s="52">
        <v>70</v>
      </c>
      <c r="CA74" s="52">
        <v>80</v>
      </c>
      <c r="CB74" s="52"/>
      <c r="CC74" s="56">
        <v>80</v>
      </c>
      <c r="CD74" s="56">
        <v>55</v>
      </c>
      <c r="CE74" s="56">
        <v>60</v>
      </c>
      <c r="CF74" s="56">
        <v>10</v>
      </c>
      <c r="CG74" s="56"/>
      <c r="CH74" s="56"/>
      <c r="CI74" s="56"/>
      <c r="CJ74" s="56"/>
      <c r="CK74" s="56"/>
      <c r="CL74" s="56"/>
      <c r="CM74" s="56"/>
      <c r="CN74" s="56"/>
      <c r="CO74" s="56">
        <v>3</v>
      </c>
      <c r="CP74" s="56"/>
      <c r="CQ74" s="56"/>
      <c r="CR74" s="56"/>
      <c r="CS74" s="159"/>
    </row>
    <row r="75" spans="1:97">
      <c r="A75" s="52">
        <v>14</v>
      </c>
      <c r="B75" s="53" t="s">
        <v>29</v>
      </c>
      <c r="C75" s="53"/>
      <c r="D75" s="54">
        <v>350</v>
      </c>
      <c r="E75" s="140" t="s">
        <v>50</v>
      </c>
      <c r="F75" s="52"/>
      <c r="G75" s="134"/>
      <c r="H75" s="56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159"/>
    </row>
    <row r="76" spans="1:97">
      <c r="A76" s="52">
        <v>15</v>
      </c>
      <c r="B76" s="53" t="s">
        <v>22</v>
      </c>
      <c r="C76" s="53"/>
      <c r="D76" s="54">
        <v>550</v>
      </c>
      <c r="E76" s="140" t="s">
        <v>50</v>
      </c>
      <c r="F76" s="52"/>
      <c r="G76" s="134"/>
      <c r="H76" s="56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6"/>
      <c r="CD76" s="56"/>
      <c r="CE76" s="56"/>
      <c r="CF76" s="56"/>
      <c r="CG76" s="56"/>
      <c r="CH76" s="56">
        <v>23</v>
      </c>
      <c r="CI76" s="56"/>
      <c r="CJ76" s="56">
        <v>7</v>
      </c>
      <c r="CK76" s="56"/>
      <c r="CL76" s="56"/>
      <c r="CM76" s="56"/>
      <c r="CN76" s="56"/>
      <c r="CO76" s="56"/>
      <c r="CP76" s="56"/>
      <c r="CQ76" s="56"/>
      <c r="CR76" s="56"/>
      <c r="CS76" s="159"/>
    </row>
    <row r="77" spans="1:97">
      <c r="A77" s="52">
        <v>16</v>
      </c>
      <c r="B77" s="53" t="s">
        <v>121</v>
      </c>
      <c r="C77" s="53"/>
      <c r="D77" s="54">
        <v>0</v>
      </c>
      <c r="E77" s="140" t="s">
        <v>50</v>
      </c>
      <c r="F77" s="52"/>
      <c r="G77" s="134"/>
      <c r="H77" s="56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6"/>
      <c r="CD77" s="56"/>
      <c r="CE77" s="56"/>
      <c r="CF77" s="56"/>
      <c r="CG77" s="56"/>
      <c r="CH77" s="56"/>
      <c r="CI77" s="56"/>
      <c r="CJ77" s="56"/>
      <c r="CK77" s="56"/>
      <c r="CL77" s="56">
        <v>27</v>
      </c>
      <c r="CM77" s="56"/>
      <c r="CN77" s="56">
        <v>13</v>
      </c>
      <c r="CO77" s="56"/>
      <c r="CP77" s="56"/>
      <c r="CQ77" s="56"/>
      <c r="CR77" s="56"/>
      <c r="CS77" s="159"/>
    </row>
    <row r="78" spans="1:97">
      <c r="A78" s="52">
        <v>17</v>
      </c>
      <c r="B78" s="53" t="s">
        <v>72</v>
      </c>
      <c r="C78" s="53"/>
      <c r="D78" s="54">
        <v>250</v>
      </c>
      <c r="E78" s="140" t="s">
        <v>50</v>
      </c>
      <c r="F78" s="52"/>
      <c r="G78" s="134"/>
      <c r="H78" s="56"/>
      <c r="I78" s="52"/>
      <c r="J78" s="52"/>
      <c r="K78" s="52"/>
      <c r="L78" s="52"/>
      <c r="M78" s="52">
        <v>54</v>
      </c>
      <c r="N78" s="52">
        <v>1</v>
      </c>
      <c r="O78" s="52"/>
      <c r="P78" s="52">
        <v>55</v>
      </c>
      <c r="Q78" s="52">
        <v>28</v>
      </c>
      <c r="R78" s="52">
        <v>100</v>
      </c>
      <c r="S78" s="52">
        <v>12</v>
      </c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159"/>
    </row>
    <row r="79" spans="1:97">
      <c r="A79" s="52">
        <v>18</v>
      </c>
      <c r="B79" s="53" t="s">
        <v>61</v>
      </c>
      <c r="C79" s="53"/>
      <c r="D79" s="54">
        <v>250</v>
      </c>
      <c r="E79" s="140" t="s">
        <v>50</v>
      </c>
      <c r="F79" s="52"/>
      <c r="G79" s="134"/>
      <c r="H79" s="56"/>
      <c r="I79" s="52"/>
      <c r="J79" s="52"/>
      <c r="K79" s="52"/>
      <c r="L79" s="52"/>
      <c r="M79" s="52">
        <v>10</v>
      </c>
      <c r="N79" s="52">
        <v>92</v>
      </c>
      <c r="O79" s="52">
        <v>92</v>
      </c>
      <c r="P79" s="52">
        <v>45</v>
      </c>
      <c r="Q79" s="52"/>
      <c r="R79" s="52">
        <v>5</v>
      </c>
      <c r="S79" s="52">
        <v>6</v>
      </c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159"/>
    </row>
    <row r="80" spans="1:97">
      <c r="A80" s="234">
        <v>19</v>
      </c>
      <c r="B80" s="235" t="s">
        <v>55</v>
      </c>
      <c r="C80" s="235"/>
      <c r="D80" s="236">
        <v>50</v>
      </c>
      <c r="E80" s="237" t="s">
        <v>115</v>
      </c>
      <c r="F80" s="234"/>
      <c r="G80" s="234"/>
      <c r="H80" s="238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  <c r="U80" s="234"/>
      <c r="V80" s="234"/>
      <c r="W80" s="234"/>
      <c r="X80" s="234"/>
      <c r="Y80" s="234"/>
      <c r="Z80" s="234"/>
      <c r="AA80" s="234"/>
      <c r="AB80" s="234"/>
      <c r="AC80" s="234"/>
      <c r="AD80" s="234"/>
      <c r="AE80" s="234"/>
      <c r="AF80" s="234"/>
      <c r="AG80" s="234"/>
      <c r="AH80" s="234"/>
      <c r="AI80" s="234"/>
      <c r="AJ80" s="234"/>
      <c r="AK80" s="234"/>
      <c r="AL80" s="234"/>
      <c r="AM80" s="234"/>
      <c r="AN80" s="234"/>
      <c r="AO80" s="234"/>
      <c r="AP80" s="234"/>
      <c r="AQ80" s="234"/>
      <c r="AR80" s="234"/>
      <c r="AS80" s="234"/>
      <c r="AT80" s="234"/>
      <c r="AU80" s="234"/>
      <c r="AV80" s="234"/>
      <c r="AW80" s="234"/>
      <c r="AX80" s="234"/>
      <c r="AY80" s="238"/>
      <c r="AZ80" s="238"/>
      <c r="BA80" s="238"/>
      <c r="BB80" s="238"/>
      <c r="BC80" s="238"/>
      <c r="BD80" s="238"/>
      <c r="BE80" s="238"/>
      <c r="BF80" s="238"/>
      <c r="BG80" s="238"/>
      <c r="BH80" s="238"/>
      <c r="BI80" s="238"/>
      <c r="BJ80" s="238"/>
      <c r="BK80" s="238"/>
      <c r="BL80" s="238"/>
      <c r="BM80" s="238"/>
      <c r="BN80" s="238"/>
      <c r="BO80" s="234"/>
      <c r="BP80" s="234"/>
      <c r="BQ80" s="234"/>
      <c r="BR80" s="234"/>
      <c r="BS80" s="234"/>
      <c r="BT80" s="234"/>
      <c r="BU80" s="234"/>
      <c r="BV80" s="234"/>
      <c r="BW80" s="234"/>
      <c r="BX80" s="234"/>
      <c r="BY80" s="234"/>
      <c r="BZ80" s="234"/>
      <c r="CA80" s="234"/>
      <c r="CB80" s="234"/>
      <c r="CC80" s="238"/>
      <c r="CD80" s="238"/>
      <c r="CE80" s="238"/>
      <c r="CF80" s="238"/>
      <c r="CG80" s="238"/>
      <c r="CH80" s="238"/>
      <c r="CI80" s="238"/>
      <c r="CJ80" s="238"/>
      <c r="CK80" s="238">
        <v>50</v>
      </c>
      <c r="CL80" s="238"/>
      <c r="CM80" s="238"/>
      <c r="CN80" s="238"/>
      <c r="CO80" s="238"/>
      <c r="CP80" s="238"/>
      <c r="CQ80" s="238"/>
      <c r="CR80" s="238"/>
      <c r="CS80" s="238"/>
    </row>
    <row r="81" spans="1:97">
      <c r="A81" s="234">
        <v>20</v>
      </c>
      <c r="B81" s="235" t="s">
        <v>56</v>
      </c>
      <c r="C81" s="235"/>
      <c r="D81" s="236">
        <v>50</v>
      </c>
      <c r="E81" s="237" t="s">
        <v>115</v>
      </c>
      <c r="F81" s="234"/>
      <c r="G81" s="234"/>
      <c r="H81" s="238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4"/>
      <c r="AK81" s="234"/>
      <c r="AL81" s="234"/>
      <c r="AM81" s="234"/>
      <c r="AN81" s="234"/>
      <c r="AO81" s="234"/>
      <c r="AP81" s="234"/>
      <c r="AQ81" s="234"/>
      <c r="AR81" s="234"/>
      <c r="AS81" s="234"/>
      <c r="AT81" s="234"/>
      <c r="AU81" s="234"/>
      <c r="AV81" s="234"/>
      <c r="AW81" s="234"/>
      <c r="AX81" s="234"/>
      <c r="AY81" s="238"/>
      <c r="AZ81" s="238"/>
      <c r="BA81" s="238"/>
      <c r="BB81" s="238"/>
      <c r="BC81" s="238"/>
      <c r="BD81" s="238"/>
      <c r="BE81" s="238"/>
      <c r="BF81" s="238"/>
      <c r="BG81" s="238"/>
      <c r="BH81" s="238"/>
      <c r="BI81" s="238"/>
      <c r="BJ81" s="238"/>
      <c r="BK81" s="238"/>
      <c r="BL81" s="238"/>
      <c r="BM81" s="238"/>
      <c r="BN81" s="238"/>
      <c r="BO81" s="234"/>
      <c r="BP81" s="234"/>
      <c r="BQ81" s="234"/>
      <c r="BR81" s="234"/>
      <c r="BS81" s="234"/>
      <c r="BT81" s="234"/>
      <c r="BU81" s="234"/>
      <c r="BV81" s="234"/>
      <c r="BW81" s="234"/>
      <c r="BX81" s="234"/>
      <c r="BY81" s="234"/>
      <c r="BZ81" s="234"/>
      <c r="CA81" s="234"/>
      <c r="CB81" s="234"/>
      <c r="CC81" s="238"/>
      <c r="CD81" s="238"/>
      <c r="CE81" s="238"/>
      <c r="CF81" s="238"/>
      <c r="CG81" s="238"/>
      <c r="CH81" s="238"/>
      <c r="CI81" s="238"/>
      <c r="CJ81" s="238"/>
      <c r="CK81" s="238">
        <v>50</v>
      </c>
      <c r="CL81" s="238"/>
      <c r="CM81" s="238"/>
      <c r="CN81" s="238"/>
      <c r="CO81" s="238"/>
      <c r="CP81" s="238"/>
      <c r="CQ81" s="238"/>
      <c r="CR81" s="238"/>
      <c r="CS81" s="238"/>
    </row>
  </sheetData>
  <autoFilter ref="A21:EV21" xr:uid="{3D408B65-2FE4-4490-934A-6DB8D3B6EF8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1811-4E9E-4B96-ABF3-AB5E5A4E0CFD}">
  <dimension ref="A1:CQ91"/>
  <sheetViews>
    <sheetView topLeftCell="AE1" workbookViewId="0">
      <selection activeCell="BA85" sqref="BA85"/>
    </sheetView>
  </sheetViews>
  <sheetFormatPr defaultColWidth="8.85546875" defaultRowHeight="15" outlineLevelCol="1"/>
  <cols>
    <col min="1" max="1" width="6.7109375" style="1" customWidth="1"/>
    <col min="2" max="2" width="17.42578125" customWidth="1"/>
    <col min="3" max="3" width="13.28515625" customWidth="1"/>
    <col min="4" max="4" width="17.140625" customWidth="1"/>
    <col min="5" max="5" width="8.85546875" style="135" customWidth="1"/>
    <col min="6" max="6" width="13.140625" customWidth="1"/>
    <col min="7" max="29" width="8.85546875" customWidth="1" outlineLevel="1"/>
    <col min="30" max="30" width="8.7109375" customWidth="1" outlineLevel="1"/>
    <col min="31" max="31" width="7.42578125" customWidth="1" outlineLevel="1"/>
    <col min="32" max="32" width="7.85546875" customWidth="1" outlineLevel="1"/>
    <col min="33" max="33" width="8" customWidth="1" outlineLevel="1"/>
    <col min="34" max="36" width="8.85546875" customWidth="1" outlineLevel="1"/>
    <col min="37" max="38" width="9.140625" bestFit="1" customWidth="1"/>
    <col min="39" max="39" width="7.28515625" customWidth="1"/>
    <col min="40" max="64" width="9.140625"/>
    <col min="96" max="16384" width="8.85546875" style="144"/>
  </cols>
  <sheetData>
    <row r="1" spans="1:70" ht="27">
      <c r="A1" s="19" t="s">
        <v>125</v>
      </c>
      <c r="B1" s="164" t="s">
        <v>126</v>
      </c>
      <c r="C1" s="164" t="s">
        <v>4</v>
      </c>
      <c r="D1" s="160" t="s">
        <v>150</v>
      </c>
      <c r="E1" s="160" t="s">
        <v>127</v>
      </c>
      <c r="F1" s="161" t="s">
        <v>151</v>
      </c>
      <c r="G1" s="168" t="s">
        <v>152</v>
      </c>
      <c r="H1" s="162" t="s">
        <v>153</v>
      </c>
      <c r="I1" s="162" t="s">
        <v>154</v>
      </c>
      <c r="J1" s="162" t="s">
        <v>155</v>
      </c>
      <c r="K1" s="162" t="s">
        <v>156</v>
      </c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AK1" s="165" t="s">
        <v>157</v>
      </c>
      <c r="AL1" s="162" t="s">
        <v>158</v>
      </c>
      <c r="AM1" s="162" t="s">
        <v>159</v>
      </c>
      <c r="AN1" s="162" t="s">
        <v>160</v>
      </c>
      <c r="AO1" s="162" t="s">
        <v>161</v>
      </c>
      <c r="BM1" s="165" t="s">
        <v>162</v>
      </c>
      <c r="BN1" s="162" t="s">
        <v>163</v>
      </c>
      <c r="BO1" s="162" t="s">
        <v>164</v>
      </c>
      <c r="BP1" s="162" t="s">
        <v>165</v>
      </c>
      <c r="BQ1" s="162" t="s">
        <v>166</v>
      </c>
      <c r="BR1" s="162" t="s">
        <v>167</v>
      </c>
    </row>
    <row r="2" spans="1:70">
      <c r="A2" s="19">
        <v>1</v>
      </c>
      <c r="B2" s="91" t="s">
        <v>36</v>
      </c>
      <c r="C2" s="90" t="s">
        <v>33</v>
      </c>
      <c r="D2" s="58">
        <v>545</v>
      </c>
      <c r="E2" s="149"/>
      <c r="F2" s="163">
        <f>SUM(G2:K2)</f>
        <v>545</v>
      </c>
      <c r="G2" s="303">
        <v>145</v>
      </c>
      <c r="H2" s="93"/>
      <c r="I2" s="93">
        <v>400</v>
      </c>
      <c r="J2" s="93"/>
      <c r="K2" s="93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AK2" s="167">
        <f>SUM(AL2:AO2)</f>
        <v>200</v>
      </c>
      <c r="AL2" s="93">
        <v>200</v>
      </c>
      <c r="AM2" s="93"/>
      <c r="AN2" s="93"/>
      <c r="AO2" s="93"/>
      <c r="BM2" s="167">
        <f>SUM(BN2:BR2)</f>
        <v>200</v>
      </c>
      <c r="BN2" s="93">
        <v>200</v>
      </c>
      <c r="BO2" s="93"/>
      <c r="BP2" s="93"/>
      <c r="BQ2" s="93"/>
      <c r="BR2" s="93"/>
    </row>
    <row r="3" spans="1:70">
      <c r="A3" s="19">
        <v>2</v>
      </c>
      <c r="B3" s="91" t="s">
        <v>37</v>
      </c>
      <c r="C3" s="90" t="s">
        <v>33</v>
      </c>
      <c r="D3" s="58">
        <v>0</v>
      </c>
      <c r="E3" s="149"/>
      <c r="F3" s="163">
        <f t="shared" ref="F3:F23" si="0">SUM(G3:K3)</f>
        <v>400</v>
      </c>
      <c r="G3" s="95"/>
      <c r="H3" s="93"/>
      <c r="I3" s="93">
        <v>400</v>
      </c>
      <c r="J3" s="93"/>
      <c r="K3" s="9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AK3" s="167">
        <f t="shared" ref="AK3:AK18" si="1">SUM(AL3:AO3)</f>
        <v>225</v>
      </c>
      <c r="AL3" s="93">
        <v>225</v>
      </c>
      <c r="AM3" s="93"/>
      <c r="AN3" s="93"/>
      <c r="AO3" s="93"/>
      <c r="BM3" s="167">
        <f t="shared" ref="BM3:BM18" si="2">SUM(BN3:BR3)</f>
        <v>225</v>
      </c>
      <c r="BN3" s="93">
        <v>225</v>
      </c>
      <c r="BO3" s="93"/>
      <c r="BP3" s="93"/>
      <c r="BQ3" s="93"/>
      <c r="BR3" s="93"/>
    </row>
    <row r="4" spans="1:70">
      <c r="A4" s="19">
        <v>3</v>
      </c>
      <c r="B4" s="91" t="s">
        <v>47</v>
      </c>
      <c r="C4" s="90" t="s">
        <v>33</v>
      </c>
      <c r="D4" s="58">
        <f>F4+AK4+BM4</f>
        <v>972</v>
      </c>
      <c r="E4" s="149"/>
      <c r="F4" s="163">
        <f t="shared" si="0"/>
        <v>324</v>
      </c>
      <c r="G4" s="95"/>
      <c r="H4" s="93"/>
      <c r="I4" s="93">
        <v>324</v>
      </c>
      <c r="J4" s="93"/>
      <c r="K4" s="93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  <c r="AK4" s="167">
        <f t="shared" si="1"/>
        <v>324</v>
      </c>
      <c r="AL4" s="93">
        <v>324</v>
      </c>
      <c r="AM4" s="93"/>
      <c r="AN4" s="93"/>
      <c r="AO4" s="93"/>
      <c r="BM4" s="167">
        <f t="shared" si="2"/>
        <v>324</v>
      </c>
      <c r="BN4" s="93">
        <v>324</v>
      </c>
      <c r="BO4" s="93"/>
      <c r="BP4" s="93"/>
      <c r="BQ4" s="93"/>
      <c r="BR4" s="93"/>
    </row>
    <row r="5" spans="1:70">
      <c r="A5" s="19">
        <v>4</v>
      </c>
      <c r="B5" s="105" t="s">
        <v>53</v>
      </c>
      <c r="C5" s="90" t="s">
        <v>50</v>
      </c>
      <c r="D5" s="58">
        <v>275</v>
      </c>
      <c r="E5" s="149"/>
      <c r="F5" s="163">
        <f t="shared" si="0"/>
        <v>875</v>
      </c>
      <c r="G5" s="95"/>
      <c r="H5" s="93">
        <v>200</v>
      </c>
      <c r="I5" s="93">
        <v>75</v>
      </c>
      <c r="J5" s="93"/>
      <c r="K5" s="93">
        <v>600</v>
      </c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AK5" s="167">
        <f t="shared" si="1"/>
        <v>600</v>
      </c>
      <c r="AL5" s="93">
        <v>300</v>
      </c>
      <c r="AM5" s="93">
        <v>300</v>
      </c>
      <c r="AN5" s="93"/>
      <c r="AO5" s="93"/>
      <c r="BM5" s="167">
        <f t="shared" si="2"/>
        <v>600</v>
      </c>
      <c r="BN5" s="93">
        <v>300</v>
      </c>
      <c r="BO5" s="93">
        <v>300</v>
      </c>
      <c r="BP5" s="93"/>
      <c r="BQ5" s="93"/>
      <c r="BR5" s="93"/>
    </row>
    <row r="6" spans="1:70">
      <c r="A6" s="19">
        <v>5</v>
      </c>
      <c r="B6" s="91" t="s">
        <v>49</v>
      </c>
      <c r="C6" s="90" t="s">
        <v>50</v>
      </c>
      <c r="D6" s="58">
        <v>1120</v>
      </c>
      <c r="E6" s="149"/>
      <c r="F6" s="163">
        <f t="shared" si="0"/>
        <v>320</v>
      </c>
      <c r="G6" s="95"/>
      <c r="H6" s="93">
        <v>20</v>
      </c>
      <c r="I6" s="93"/>
      <c r="J6" s="93">
        <v>300</v>
      </c>
      <c r="K6" s="93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AK6" s="167">
        <f t="shared" si="1"/>
        <v>275</v>
      </c>
      <c r="AL6" s="93">
        <v>275</v>
      </c>
      <c r="AM6" s="93"/>
      <c r="AN6" s="93"/>
      <c r="AO6" s="93"/>
      <c r="BM6" s="167">
        <f t="shared" si="2"/>
        <v>375</v>
      </c>
      <c r="BN6" s="93">
        <v>375</v>
      </c>
      <c r="BO6" s="93"/>
      <c r="BP6" s="93"/>
      <c r="BQ6" s="93"/>
      <c r="BR6" s="93"/>
    </row>
    <row r="7" spans="1:70">
      <c r="A7" s="19">
        <v>6</v>
      </c>
      <c r="B7" s="91" t="s">
        <v>51</v>
      </c>
      <c r="C7" s="90" t="s">
        <v>50</v>
      </c>
      <c r="D7" s="58">
        <v>2442</v>
      </c>
      <c r="E7" s="149"/>
      <c r="F7" s="163">
        <f t="shared" si="0"/>
        <v>842</v>
      </c>
      <c r="G7" s="95"/>
      <c r="H7" s="93">
        <v>142</v>
      </c>
      <c r="I7" s="93"/>
      <c r="J7" s="93">
        <v>600</v>
      </c>
      <c r="K7" s="93">
        <v>100</v>
      </c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AK7" s="167">
        <f t="shared" si="1"/>
        <v>600</v>
      </c>
      <c r="AL7" s="93">
        <v>300</v>
      </c>
      <c r="AM7" s="93">
        <v>300</v>
      </c>
      <c r="AN7" s="93"/>
      <c r="AO7" s="93"/>
      <c r="BM7" s="167">
        <f t="shared" si="2"/>
        <v>900</v>
      </c>
      <c r="BN7" s="93">
        <v>400</v>
      </c>
      <c r="BO7" s="93">
        <v>300</v>
      </c>
      <c r="BP7" s="93">
        <v>200</v>
      </c>
      <c r="BQ7" s="93"/>
      <c r="BR7" s="93"/>
    </row>
    <row r="8" spans="1:70">
      <c r="A8" s="19">
        <v>7</v>
      </c>
      <c r="B8" s="91" t="s">
        <v>41</v>
      </c>
      <c r="C8" s="90" t="s">
        <v>33</v>
      </c>
      <c r="D8" s="58">
        <v>0</v>
      </c>
      <c r="E8" s="149"/>
      <c r="F8" s="163">
        <f t="shared" si="0"/>
        <v>250</v>
      </c>
      <c r="G8" s="95"/>
      <c r="H8" s="93"/>
      <c r="I8" s="93"/>
      <c r="J8" s="303">
        <v>250</v>
      </c>
      <c r="K8" s="93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AK8" s="167">
        <f t="shared" si="1"/>
        <v>150</v>
      </c>
      <c r="AL8" s="93">
        <v>150</v>
      </c>
      <c r="AM8" s="93"/>
      <c r="AN8" s="93"/>
      <c r="AO8" s="93"/>
      <c r="BM8" s="167">
        <f t="shared" si="2"/>
        <v>210</v>
      </c>
      <c r="BN8" s="93">
        <v>210</v>
      </c>
      <c r="BO8" s="93"/>
      <c r="BP8" s="93"/>
      <c r="BQ8" s="93"/>
      <c r="BR8" s="93"/>
    </row>
    <row r="9" spans="1:70">
      <c r="A9" s="19">
        <v>8</v>
      </c>
      <c r="B9" s="91" t="s">
        <v>42</v>
      </c>
      <c r="C9" s="90" t="s">
        <v>33</v>
      </c>
      <c r="D9" s="58">
        <v>0</v>
      </c>
      <c r="E9" s="149"/>
      <c r="F9" s="163">
        <f t="shared" si="0"/>
        <v>250</v>
      </c>
      <c r="G9" s="95"/>
      <c r="H9" s="93"/>
      <c r="I9" s="93"/>
      <c r="J9" s="303">
        <v>250</v>
      </c>
      <c r="K9" s="93"/>
      <c r="L9" s="144"/>
      <c r="M9" s="144"/>
      <c r="N9" s="144"/>
      <c r="O9" s="144"/>
      <c r="P9" s="144"/>
      <c r="Q9" s="144"/>
      <c r="R9" s="144"/>
      <c r="S9" s="144"/>
      <c r="T9" s="144"/>
      <c r="U9" s="144"/>
      <c r="V9" s="144"/>
      <c r="AK9" s="167">
        <f t="shared" si="1"/>
        <v>205</v>
      </c>
      <c r="AL9" s="93">
        <v>205</v>
      </c>
      <c r="AM9" s="93"/>
      <c r="AN9" s="93"/>
      <c r="AO9" s="93"/>
      <c r="BM9" s="167">
        <f t="shared" si="2"/>
        <v>275</v>
      </c>
      <c r="BN9" s="93">
        <v>275</v>
      </c>
      <c r="BO9" s="93"/>
      <c r="BP9" s="93"/>
      <c r="BQ9" s="93"/>
      <c r="BR9" s="93"/>
    </row>
    <row r="10" spans="1:70">
      <c r="A10" s="19">
        <v>9</v>
      </c>
      <c r="B10" s="91" t="s">
        <v>44</v>
      </c>
      <c r="C10" s="90" t="s">
        <v>33</v>
      </c>
      <c r="D10" s="58">
        <v>200</v>
      </c>
      <c r="E10" s="149"/>
      <c r="F10" s="163">
        <f t="shared" si="0"/>
        <v>200</v>
      </c>
      <c r="G10" s="95"/>
      <c r="H10" s="93"/>
      <c r="I10" s="93">
        <v>200</v>
      </c>
      <c r="J10" s="93"/>
      <c r="K10" s="93"/>
      <c r="L10" s="144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AK10" s="167">
        <f t="shared" si="1"/>
        <v>150</v>
      </c>
      <c r="AL10" s="93">
        <v>150</v>
      </c>
      <c r="AM10" s="93"/>
      <c r="AN10" s="93"/>
      <c r="AO10" s="93"/>
      <c r="BM10" s="167">
        <f t="shared" si="2"/>
        <v>185</v>
      </c>
      <c r="BN10" s="93">
        <v>185</v>
      </c>
      <c r="BO10" s="93"/>
      <c r="BP10" s="93"/>
      <c r="BQ10" s="93"/>
      <c r="BR10" s="93"/>
    </row>
    <row r="11" spans="1:70">
      <c r="A11" s="19">
        <v>10</v>
      </c>
      <c r="B11" s="91" t="s">
        <v>45</v>
      </c>
      <c r="C11" s="90" t="s">
        <v>33</v>
      </c>
      <c r="D11" s="58">
        <v>200</v>
      </c>
      <c r="E11" s="149"/>
      <c r="F11" s="163">
        <f t="shared" si="0"/>
        <v>250</v>
      </c>
      <c r="G11" s="95"/>
      <c r="H11" s="93"/>
      <c r="I11" s="93">
        <v>250</v>
      </c>
      <c r="J11" s="93"/>
      <c r="K11" s="93"/>
      <c r="L11" s="144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AK11" s="167">
        <f t="shared" si="1"/>
        <v>205</v>
      </c>
      <c r="AL11" s="93">
        <v>205</v>
      </c>
      <c r="AM11" s="93"/>
      <c r="AN11" s="93"/>
      <c r="AO11" s="93"/>
      <c r="BM11" s="167">
        <f t="shared" si="2"/>
        <v>250</v>
      </c>
      <c r="BN11" s="93">
        <v>250</v>
      </c>
      <c r="BO11" s="93"/>
      <c r="BP11" s="93"/>
      <c r="BQ11" s="93"/>
      <c r="BR11" s="93"/>
    </row>
    <row r="12" spans="1:70">
      <c r="A12" s="19">
        <v>11</v>
      </c>
      <c r="B12" s="91" t="s">
        <v>84</v>
      </c>
      <c r="C12" s="90" t="s">
        <v>33</v>
      </c>
      <c r="D12" s="58">
        <v>0</v>
      </c>
      <c r="E12" s="149"/>
      <c r="F12" s="163">
        <f t="shared" si="0"/>
        <v>200</v>
      </c>
      <c r="G12" s="95"/>
      <c r="H12" s="93"/>
      <c r="I12" s="303">
        <v>200</v>
      </c>
      <c r="J12" s="93"/>
      <c r="K12" s="93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AK12" s="167">
        <f t="shared" si="1"/>
        <v>124</v>
      </c>
      <c r="AL12" s="93">
        <v>124</v>
      </c>
      <c r="AM12" s="93"/>
      <c r="AN12" s="93"/>
      <c r="AO12" s="93"/>
      <c r="BM12" s="167">
        <f t="shared" si="2"/>
        <v>161</v>
      </c>
      <c r="BN12" s="93">
        <v>161</v>
      </c>
      <c r="BO12" s="93"/>
      <c r="BP12" s="93"/>
      <c r="BQ12" s="93"/>
      <c r="BR12" s="93"/>
    </row>
    <row r="13" spans="1:70">
      <c r="A13" s="19">
        <v>12</v>
      </c>
      <c r="B13" s="91" t="s">
        <v>34</v>
      </c>
      <c r="C13" s="90" t="s">
        <v>33</v>
      </c>
      <c r="D13" s="58">
        <v>0</v>
      </c>
      <c r="E13" s="149"/>
      <c r="F13" s="163">
        <f t="shared" si="0"/>
        <v>200</v>
      </c>
      <c r="G13" s="95"/>
      <c r="H13" s="93"/>
      <c r="I13" s="303">
        <v>200</v>
      </c>
      <c r="J13" s="93"/>
      <c r="K13" s="93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AK13" s="167">
        <f t="shared" si="1"/>
        <v>124</v>
      </c>
      <c r="AL13" s="93">
        <v>124</v>
      </c>
      <c r="AM13" s="93"/>
      <c r="AN13" s="93"/>
      <c r="AO13" s="93"/>
      <c r="BM13" s="167">
        <f t="shared" si="2"/>
        <v>161</v>
      </c>
      <c r="BN13" s="93">
        <v>161</v>
      </c>
      <c r="BO13" s="93"/>
      <c r="BP13" s="93"/>
      <c r="BQ13" s="93"/>
      <c r="BR13" s="93"/>
    </row>
    <row r="14" spans="1:70">
      <c r="A14" s="19">
        <v>13</v>
      </c>
      <c r="B14" s="91" t="s">
        <v>39</v>
      </c>
      <c r="C14" s="90" t="s">
        <v>33</v>
      </c>
      <c r="D14" s="58">
        <v>19314</v>
      </c>
      <c r="E14" s="149"/>
      <c r="F14" s="163">
        <f t="shared" si="0"/>
        <v>4314</v>
      </c>
      <c r="G14" s="303">
        <v>300</v>
      </c>
      <c r="H14" s="303">
        <v>1014</v>
      </c>
      <c r="I14" s="93"/>
      <c r="J14" s="93">
        <v>600</v>
      </c>
      <c r="K14" s="93">
        <v>2400</v>
      </c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AK14" s="167">
        <f t="shared" si="1"/>
        <v>7500</v>
      </c>
      <c r="AL14" s="93">
        <v>1500</v>
      </c>
      <c r="AM14" s="93">
        <v>2000</v>
      </c>
      <c r="AN14" s="93">
        <v>2000</v>
      </c>
      <c r="AO14" s="93">
        <v>2000</v>
      </c>
      <c r="BM14" s="167">
        <f t="shared" si="2"/>
        <v>7500</v>
      </c>
      <c r="BN14" s="93">
        <v>1000</v>
      </c>
      <c r="BO14" s="93">
        <v>1500</v>
      </c>
      <c r="BP14" s="93">
        <v>2000</v>
      </c>
      <c r="BQ14" s="93">
        <v>2000</v>
      </c>
      <c r="BR14" s="93">
        <v>1000</v>
      </c>
    </row>
    <row r="15" spans="1:70">
      <c r="A15" s="19">
        <v>14</v>
      </c>
      <c r="B15" s="91" t="s">
        <v>72</v>
      </c>
      <c r="C15" s="90" t="s">
        <v>50</v>
      </c>
      <c r="D15" s="58">
        <v>1500</v>
      </c>
      <c r="E15" s="149"/>
      <c r="F15" s="163">
        <f t="shared" si="0"/>
        <v>400</v>
      </c>
      <c r="G15" s="95"/>
      <c r="H15" s="93"/>
      <c r="I15" s="93"/>
      <c r="J15" s="93">
        <v>200</v>
      </c>
      <c r="K15" s="93">
        <v>200</v>
      </c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AK15" s="167">
        <f t="shared" si="1"/>
        <v>510</v>
      </c>
      <c r="AL15" s="93">
        <v>510</v>
      </c>
      <c r="AM15" s="93"/>
      <c r="AN15" s="93"/>
      <c r="AO15" s="93"/>
      <c r="BM15" s="167">
        <f t="shared" si="2"/>
        <v>750</v>
      </c>
      <c r="BN15" s="93">
        <v>400</v>
      </c>
      <c r="BO15" s="93">
        <v>350</v>
      </c>
      <c r="BP15" s="93"/>
      <c r="BQ15" s="93"/>
      <c r="BR15" s="93"/>
    </row>
    <row r="16" spans="1:70">
      <c r="A16" s="19">
        <v>15</v>
      </c>
      <c r="B16" s="91" t="s">
        <v>61</v>
      </c>
      <c r="C16" s="90" t="s">
        <v>50</v>
      </c>
      <c r="D16" s="58">
        <v>1600</v>
      </c>
      <c r="E16" s="149"/>
      <c r="F16" s="163">
        <f t="shared" si="0"/>
        <v>600</v>
      </c>
      <c r="G16" s="125"/>
      <c r="H16" s="93"/>
      <c r="I16" s="93"/>
      <c r="J16" s="93">
        <v>200</v>
      </c>
      <c r="K16" s="93">
        <v>400</v>
      </c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AK16" s="167">
        <f t="shared" si="1"/>
        <v>764</v>
      </c>
      <c r="AL16" s="93">
        <v>500</v>
      </c>
      <c r="AM16" s="93">
        <v>264</v>
      </c>
      <c r="AN16" s="93"/>
      <c r="AO16" s="93"/>
      <c r="BM16" s="167">
        <f t="shared" si="2"/>
        <v>1100</v>
      </c>
      <c r="BN16" s="93">
        <v>600</v>
      </c>
      <c r="BO16" s="93">
        <v>500</v>
      </c>
      <c r="BP16" s="93"/>
      <c r="BQ16" s="93"/>
      <c r="BR16" s="93"/>
    </row>
    <row r="17" spans="1:95">
      <c r="A17" s="19">
        <v>16</v>
      </c>
      <c r="B17" s="91" t="s">
        <v>29</v>
      </c>
      <c r="C17" s="90" t="s">
        <v>50</v>
      </c>
      <c r="D17" s="58">
        <v>1425</v>
      </c>
      <c r="E17" s="149"/>
      <c r="F17" s="163">
        <f t="shared" si="0"/>
        <v>625</v>
      </c>
      <c r="G17" s="95"/>
      <c r="H17" s="93">
        <v>200</v>
      </c>
      <c r="I17" s="93">
        <v>300</v>
      </c>
      <c r="J17" s="93">
        <v>125</v>
      </c>
      <c r="K17" s="93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AK17" s="167">
        <f t="shared" si="1"/>
        <v>210</v>
      </c>
      <c r="AL17" s="93">
        <v>210</v>
      </c>
      <c r="AM17" s="93"/>
      <c r="AN17" s="93"/>
      <c r="AO17" s="93"/>
      <c r="BM17" s="167">
        <f t="shared" si="2"/>
        <v>300</v>
      </c>
      <c r="BN17" s="93">
        <v>300</v>
      </c>
      <c r="BO17" s="93"/>
      <c r="BP17" s="93"/>
      <c r="BQ17" s="93"/>
      <c r="BR17" s="93"/>
    </row>
    <row r="18" spans="1:95">
      <c r="A18" s="19">
        <v>17</v>
      </c>
      <c r="B18" s="91" t="s">
        <v>22</v>
      </c>
      <c r="C18" s="90" t="s">
        <v>50</v>
      </c>
      <c r="D18" s="58">
        <v>1500</v>
      </c>
      <c r="E18" s="149"/>
      <c r="F18" s="163">
        <f t="shared" si="0"/>
        <v>950</v>
      </c>
      <c r="G18" s="95"/>
      <c r="H18" s="93">
        <v>300</v>
      </c>
      <c r="I18" s="93">
        <v>300</v>
      </c>
      <c r="J18" s="93">
        <v>350</v>
      </c>
      <c r="K18" s="93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AK18" s="169">
        <f t="shared" si="1"/>
        <v>240</v>
      </c>
      <c r="AL18" s="123">
        <v>240</v>
      </c>
      <c r="AM18" s="123"/>
      <c r="AN18" s="123"/>
      <c r="AO18" s="123"/>
      <c r="BM18" s="167">
        <f t="shared" si="2"/>
        <v>360</v>
      </c>
      <c r="BN18" s="93">
        <v>360</v>
      </c>
      <c r="BO18" s="93"/>
      <c r="BP18" s="93"/>
      <c r="BQ18" s="93"/>
      <c r="BR18" s="93"/>
    </row>
    <row r="19" spans="1:95">
      <c r="A19" s="19">
        <v>18</v>
      </c>
      <c r="B19" s="91" t="s">
        <v>121</v>
      </c>
      <c r="C19" s="299" t="s">
        <v>50</v>
      </c>
      <c r="D19" s="112">
        <v>30</v>
      </c>
      <c r="E19" s="148"/>
      <c r="F19" s="163">
        <f t="shared" si="0"/>
        <v>30</v>
      </c>
      <c r="G19" s="125"/>
      <c r="H19" s="300"/>
      <c r="I19" s="300"/>
      <c r="J19" s="300">
        <v>30</v>
      </c>
      <c r="K19" s="300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AK19" s="301"/>
      <c r="AL19" s="302"/>
      <c r="AM19" s="302"/>
      <c r="AN19" s="302"/>
      <c r="AO19" s="302"/>
      <c r="BM19" s="301"/>
      <c r="BN19" s="302"/>
      <c r="BO19" s="302"/>
      <c r="BP19" s="302"/>
      <c r="BQ19" s="302"/>
      <c r="BR19" s="302"/>
    </row>
    <row r="20" spans="1:95">
      <c r="A20" s="19">
        <v>19</v>
      </c>
      <c r="B20" s="91" t="s">
        <v>55</v>
      </c>
      <c r="C20" s="299" t="s">
        <v>33</v>
      </c>
      <c r="D20" s="112">
        <v>0</v>
      </c>
      <c r="E20" s="148"/>
      <c r="F20" s="163">
        <f t="shared" si="0"/>
        <v>50</v>
      </c>
      <c r="G20" s="125"/>
      <c r="H20" s="300">
        <v>50</v>
      </c>
      <c r="I20" s="300"/>
      <c r="J20" s="300"/>
      <c r="K20" s="300"/>
      <c r="L20" s="144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AK20" s="301"/>
      <c r="AL20" s="302"/>
      <c r="AM20" s="302"/>
      <c r="AN20" s="302"/>
      <c r="AO20" s="302"/>
      <c r="BM20" s="301"/>
      <c r="BN20" s="302"/>
      <c r="BO20" s="302"/>
      <c r="BP20" s="302"/>
      <c r="BQ20" s="302"/>
      <c r="BR20" s="302"/>
    </row>
    <row r="21" spans="1:95">
      <c r="A21" s="19">
        <v>20</v>
      </c>
      <c r="B21" s="91" t="s">
        <v>56</v>
      </c>
      <c r="C21" s="299" t="s">
        <v>33</v>
      </c>
      <c r="D21" s="112">
        <v>0</v>
      </c>
      <c r="E21" s="148"/>
      <c r="F21" s="163">
        <f t="shared" si="0"/>
        <v>50</v>
      </c>
      <c r="G21" s="125"/>
      <c r="H21" s="300">
        <v>50</v>
      </c>
      <c r="I21" s="300"/>
      <c r="J21" s="300"/>
      <c r="K21" s="300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AK21" s="301"/>
      <c r="AL21" s="302"/>
      <c r="AM21" s="302"/>
      <c r="AN21" s="302"/>
      <c r="AO21" s="302"/>
      <c r="BM21" s="301"/>
      <c r="BN21" s="302"/>
      <c r="BO21" s="302"/>
      <c r="BP21" s="302"/>
      <c r="BQ21" s="302"/>
      <c r="BR21" s="302"/>
    </row>
    <row r="22" spans="1:95">
      <c r="A22" s="19">
        <v>21</v>
      </c>
      <c r="B22" s="91" t="s">
        <v>77</v>
      </c>
      <c r="C22" s="299" t="s">
        <v>33</v>
      </c>
      <c r="D22" s="112">
        <v>0</v>
      </c>
      <c r="E22" s="148"/>
      <c r="F22" s="163">
        <f t="shared" si="0"/>
        <v>50</v>
      </c>
      <c r="G22" s="125"/>
      <c r="H22" s="300"/>
      <c r="I22" s="300"/>
      <c r="J22" s="300"/>
      <c r="K22" s="300">
        <v>50</v>
      </c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AK22" s="301"/>
      <c r="AL22" s="302"/>
      <c r="AM22" s="302"/>
      <c r="AN22" s="302"/>
      <c r="AO22" s="302"/>
      <c r="BM22" s="301"/>
      <c r="BN22" s="302"/>
      <c r="BO22" s="302"/>
      <c r="BP22" s="302"/>
      <c r="BQ22" s="302"/>
      <c r="BR22" s="302"/>
    </row>
    <row r="23" spans="1:95">
      <c r="A23" s="19">
        <v>22</v>
      </c>
      <c r="B23" s="91" t="s">
        <v>78</v>
      </c>
      <c r="C23" s="299" t="s">
        <v>33</v>
      </c>
      <c r="D23" s="112">
        <v>0</v>
      </c>
      <c r="E23" s="148"/>
      <c r="F23" s="163">
        <f t="shared" si="0"/>
        <v>50</v>
      </c>
      <c r="G23" s="125"/>
      <c r="H23" s="300"/>
      <c r="I23" s="300"/>
      <c r="J23" s="300"/>
      <c r="K23" s="300">
        <v>50</v>
      </c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AK23" s="301"/>
      <c r="AL23" s="302"/>
      <c r="AM23" s="302"/>
      <c r="AN23" s="302"/>
      <c r="AO23" s="302"/>
      <c r="BM23" s="301"/>
      <c r="BN23" s="302"/>
      <c r="BO23" s="302"/>
      <c r="BP23" s="302"/>
      <c r="BQ23" s="302"/>
      <c r="BR23" s="302"/>
    </row>
    <row r="24" spans="1:95">
      <c r="A24" s="72"/>
      <c r="B24" s="69" t="s">
        <v>147</v>
      </c>
      <c r="C24" s="69"/>
      <c r="D24" s="112">
        <f>SUM(D2:D23)</f>
        <v>31123</v>
      </c>
      <c r="E24" s="148"/>
      <c r="F24" s="209">
        <f>SUM(F2:F23)</f>
        <v>11775</v>
      </c>
      <c r="G24" s="211"/>
      <c r="H24" s="210"/>
      <c r="I24" s="210"/>
      <c r="J24" s="210"/>
      <c r="K24" s="210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AK24" s="213">
        <f>SUM(AK2:AK18)</f>
        <v>12406</v>
      </c>
      <c r="AL24" s="214"/>
      <c r="AM24" s="214"/>
      <c r="AN24" s="214"/>
      <c r="AO24" s="214"/>
      <c r="BM24" s="222">
        <f>SUM(BM2:BM18)</f>
        <v>13876</v>
      </c>
      <c r="BN24" s="223"/>
      <c r="BO24" s="223"/>
      <c r="BP24" s="223"/>
      <c r="BQ24" s="223"/>
      <c r="BR24" s="223"/>
    </row>
    <row r="25" spans="1:95" s="157" customFormat="1">
      <c r="A25" s="58" t="s">
        <v>108</v>
      </c>
      <c r="B25" s="58" t="s">
        <v>2</v>
      </c>
      <c r="C25" s="58" t="s">
        <v>109</v>
      </c>
      <c r="D25" s="58" t="s">
        <v>110</v>
      </c>
      <c r="E25" s="149" t="s">
        <v>4</v>
      </c>
      <c r="F25" s="208" t="s">
        <v>151</v>
      </c>
      <c r="G25" s="157">
        <v>2</v>
      </c>
      <c r="H25" s="157">
        <v>3</v>
      </c>
      <c r="I25" s="157">
        <v>4</v>
      </c>
      <c r="J25" s="157">
        <v>5</v>
      </c>
      <c r="K25" s="157">
        <v>6</v>
      </c>
      <c r="L25" s="157">
        <v>7</v>
      </c>
      <c r="M25" s="157">
        <v>8</v>
      </c>
      <c r="N25" s="157">
        <v>9</v>
      </c>
      <c r="O25" s="157">
        <v>10</v>
      </c>
      <c r="P25" s="157">
        <v>11</v>
      </c>
      <c r="Q25" s="157">
        <v>12</v>
      </c>
      <c r="R25" s="157">
        <v>13</v>
      </c>
      <c r="S25" s="157">
        <v>14</v>
      </c>
      <c r="T25" s="157">
        <v>15</v>
      </c>
      <c r="U25" s="157">
        <v>16</v>
      </c>
      <c r="V25" s="157">
        <v>17</v>
      </c>
      <c r="W25" s="157">
        <v>18</v>
      </c>
      <c r="X25" s="157">
        <v>19</v>
      </c>
      <c r="Y25" s="157">
        <v>20</v>
      </c>
      <c r="Z25" s="157">
        <v>21</v>
      </c>
      <c r="AA25" s="157">
        <v>22</v>
      </c>
      <c r="AB25" s="157">
        <v>23</v>
      </c>
      <c r="AC25" s="157">
        <v>24</v>
      </c>
      <c r="AD25" s="157">
        <v>25</v>
      </c>
      <c r="AE25" s="157">
        <v>26</v>
      </c>
      <c r="AF25" s="157">
        <v>27</v>
      </c>
      <c r="AG25" s="157">
        <v>28</v>
      </c>
      <c r="AH25" s="157">
        <v>29</v>
      </c>
      <c r="AI25" s="157">
        <v>30</v>
      </c>
      <c r="AJ25" s="157">
        <v>31</v>
      </c>
      <c r="AK25" s="208" t="s">
        <v>168</v>
      </c>
      <c r="AL25" s="157">
        <v>2</v>
      </c>
      <c r="AM25" s="157">
        <v>3</v>
      </c>
      <c r="AN25" s="157">
        <v>4</v>
      </c>
      <c r="AO25" s="157">
        <v>5</v>
      </c>
      <c r="AP25" s="157">
        <v>6</v>
      </c>
      <c r="AQ25" s="157">
        <v>7</v>
      </c>
      <c r="AR25" s="157">
        <v>8</v>
      </c>
      <c r="AS25" s="157">
        <v>9</v>
      </c>
      <c r="AT25" s="157">
        <v>10</v>
      </c>
      <c r="AU25" s="157">
        <v>11</v>
      </c>
      <c r="AV25" s="157">
        <v>12</v>
      </c>
      <c r="AW25" s="157">
        <v>13</v>
      </c>
      <c r="AX25" s="157">
        <v>14</v>
      </c>
      <c r="AY25" s="157">
        <v>15</v>
      </c>
      <c r="AZ25" s="157">
        <v>16</v>
      </c>
      <c r="BA25" s="157">
        <v>17</v>
      </c>
      <c r="BB25" s="157">
        <v>18</v>
      </c>
      <c r="BC25" s="157">
        <v>19</v>
      </c>
      <c r="BD25" s="157">
        <v>20</v>
      </c>
      <c r="BE25" s="157">
        <v>21</v>
      </c>
      <c r="BF25" s="157">
        <v>22</v>
      </c>
      <c r="BG25" s="157">
        <v>23</v>
      </c>
      <c r="BH25" s="157">
        <v>24</v>
      </c>
      <c r="BI25" s="157">
        <v>25</v>
      </c>
      <c r="BJ25" s="157">
        <v>26</v>
      </c>
      <c r="BK25" s="157">
        <v>27</v>
      </c>
      <c r="BL25" s="157">
        <v>28</v>
      </c>
      <c r="BM25" s="208" t="s">
        <v>162</v>
      </c>
      <c r="BN25" s="157">
        <v>2</v>
      </c>
      <c r="BO25" s="157">
        <v>3</v>
      </c>
      <c r="BP25" s="157">
        <v>4</v>
      </c>
      <c r="BQ25" s="157">
        <v>5</v>
      </c>
      <c r="BR25" s="157">
        <v>6</v>
      </c>
      <c r="BS25" s="157">
        <v>7</v>
      </c>
      <c r="BT25" s="157">
        <v>8</v>
      </c>
      <c r="BU25" s="157">
        <v>9</v>
      </c>
      <c r="BV25" s="157">
        <v>10</v>
      </c>
      <c r="BW25" s="157">
        <v>11</v>
      </c>
      <c r="BX25" s="157">
        <v>12</v>
      </c>
      <c r="BY25" s="157">
        <v>13</v>
      </c>
      <c r="BZ25" s="157">
        <v>14</v>
      </c>
      <c r="CA25" s="157">
        <v>15</v>
      </c>
      <c r="CB25" s="157">
        <v>16</v>
      </c>
      <c r="CC25" s="157">
        <v>17</v>
      </c>
      <c r="CD25" s="157">
        <v>18</v>
      </c>
      <c r="CE25" s="157">
        <v>19</v>
      </c>
      <c r="CF25" s="157">
        <v>20</v>
      </c>
      <c r="CG25" s="157">
        <v>21</v>
      </c>
      <c r="CH25" s="157">
        <v>22</v>
      </c>
      <c r="CI25" s="157">
        <v>23</v>
      </c>
      <c r="CJ25" s="157">
        <v>24</v>
      </c>
      <c r="CK25" s="157">
        <v>25</v>
      </c>
      <c r="CL25" s="157">
        <v>26</v>
      </c>
      <c r="CM25" s="157">
        <v>27</v>
      </c>
      <c r="CN25" s="157">
        <v>28</v>
      </c>
      <c r="CO25" s="157">
        <v>29</v>
      </c>
      <c r="CP25" s="157">
        <v>30</v>
      </c>
      <c r="CQ25" s="157">
        <v>31</v>
      </c>
    </row>
    <row r="26" spans="1:95">
      <c r="A26" s="152" t="s">
        <v>108</v>
      </c>
      <c r="B26" s="205" t="s">
        <v>84</v>
      </c>
      <c r="C26" s="62"/>
      <c r="D26" s="62">
        <v>400</v>
      </c>
      <c r="E26" s="217" t="s">
        <v>115</v>
      </c>
      <c r="F26" s="218"/>
      <c r="G26" s="201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60"/>
      <c r="X26" s="38"/>
      <c r="Y26" s="38">
        <v>150</v>
      </c>
      <c r="Z26" s="38">
        <v>50</v>
      </c>
      <c r="AA26" s="38"/>
      <c r="AB26" s="38"/>
      <c r="AC26" s="38"/>
      <c r="AD26" s="38"/>
      <c r="AE26" s="38"/>
      <c r="AF26" s="38"/>
      <c r="AG26" s="38"/>
      <c r="AH26" s="38"/>
      <c r="AI26" s="38"/>
      <c r="AJ26" s="60"/>
      <c r="AK26" s="218"/>
      <c r="AL26" s="201"/>
      <c r="AM26" s="38"/>
      <c r="AN26" s="38"/>
      <c r="AO26" s="38"/>
      <c r="AP26" s="38"/>
      <c r="AQ26" s="38"/>
      <c r="AR26" s="38"/>
      <c r="AS26" s="38">
        <v>150</v>
      </c>
      <c r="AT26" s="38">
        <v>50</v>
      </c>
      <c r="AU26" s="38"/>
      <c r="AV26" s="38"/>
      <c r="AW26" s="38"/>
      <c r="AX26" s="38"/>
      <c r="AY26" s="38"/>
      <c r="AZ26" s="38"/>
      <c r="BA26" s="38"/>
      <c r="BB26" s="60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218"/>
      <c r="BN26" s="201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60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60"/>
    </row>
    <row r="27" spans="1:95">
      <c r="A27" s="23" t="s">
        <v>108</v>
      </c>
      <c r="B27" s="24" t="s">
        <v>34</v>
      </c>
      <c r="C27" s="25"/>
      <c r="D27" s="25">
        <v>400</v>
      </c>
      <c r="E27" s="141" t="s">
        <v>115</v>
      </c>
      <c r="F27" s="27"/>
      <c r="G27" s="27"/>
      <c r="H27" s="3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41"/>
      <c r="X27" s="27"/>
      <c r="Y27" s="27"/>
      <c r="Z27" s="27">
        <v>50</v>
      </c>
      <c r="AA27" s="27">
        <v>100</v>
      </c>
      <c r="AB27" s="27"/>
      <c r="AC27" s="27"/>
      <c r="AD27" s="27"/>
      <c r="AE27" s="27"/>
      <c r="AF27" s="27"/>
      <c r="AG27" s="27"/>
      <c r="AH27" s="27"/>
      <c r="AI27" s="27"/>
      <c r="AJ27" s="41"/>
      <c r="AK27" s="27"/>
      <c r="AL27" s="27"/>
      <c r="AM27" s="37"/>
      <c r="AN27" s="27"/>
      <c r="AO27" s="27"/>
      <c r="AP27" s="27"/>
      <c r="AQ27" s="27"/>
      <c r="AR27" s="27"/>
      <c r="AS27" s="27"/>
      <c r="AT27" s="27">
        <v>100</v>
      </c>
      <c r="AU27" s="27">
        <v>100</v>
      </c>
      <c r="AV27" s="27"/>
      <c r="AW27" s="27"/>
      <c r="AX27" s="27"/>
      <c r="AY27" s="27"/>
      <c r="AZ27" s="27"/>
      <c r="BA27" s="27"/>
      <c r="BB27" s="41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3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41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41"/>
    </row>
    <row r="28" spans="1:95">
      <c r="A28" s="23" t="s">
        <v>108</v>
      </c>
      <c r="B28" s="24" t="s">
        <v>36</v>
      </c>
      <c r="C28" s="25"/>
      <c r="D28" s="25">
        <v>745</v>
      </c>
      <c r="E28" s="141" t="s">
        <v>115</v>
      </c>
      <c r="F28" s="27"/>
      <c r="G28" s="23"/>
      <c r="H28" s="71"/>
      <c r="I28" s="23"/>
      <c r="J28" s="23"/>
      <c r="K28" s="23"/>
      <c r="L28" s="23">
        <v>145</v>
      </c>
      <c r="M28" s="71"/>
      <c r="N28" s="23"/>
      <c r="O28" s="23"/>
      <c r="P28" s="23"/>
      <c r="Q28" s="23"/>
      <c r="R28" s="23">
        <v>150</v>
      </c>
      <c r="S28" s="23">
        <v>150</v>
      </c>
      <c r="T28" s="23">
        <v>100</v>
      </c>
      <c r="U28" s="23"/>
      <c r="V28" s="23"/>
      <c r="W28" s="75"/>
      <c r="X28" s="23"/>
      <c r="Y28" s="23"/>
      <c r="Z28" s="23"/>
      <c r="AA28" s="23"/>
      <c r="AB28" s="27"/>
      <c r="AC28" s="27"/>
      <c r="AD28" s="27"/>
      <c r="AE28" s="27"/>
      <c r="AF28" s="27"/>
      <c r="AG28" s="27"/>
      <c r="AH28" s="27"/>
      <c r="AI28" s="27"/>
      <c r="AJ28" s="41"/>
      <c r="AK28" s="27"/>
      <c r="AL28" s="27">
        <v>150</v>
      </c>
      <c r="AM28" s="71">
        <v>150</v>
      </c>
      <c r="AN28" s="23">
        <v>100</v>
      </c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75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71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75"/>
      <c r="CE28" s="23"/>
      <c r="CF28" s="23"/>
      <c r="CG28" s="23"/>
      <c r="CH28" s="23"/>
      <c r="CI28" s="27"/>
      <c r="CJ28" s="27"/>
      <c r="CK28" s="27"/>
      <c r="CL28" s="27"/>
      <c r="CM28" s="27"/>
      <c r="CN28" s="27"/>
      <c r="CO28" s="27"/>
      <c r="CP28" s="27"/>
      <c r="CQ28" s="41"/>
    </row>
    <row r="29" spans="1:95">
      <c r="A29" s="23" t="s">
        <v>108</v>
      </c>
      <c r="B29" s="24" t="s">
        <v>37</v>
      </c>
      <c r="C29" s="25"/>
      <c r="D29" s="25">
        <v>600</v>
      </c>
      <c r="E29" s="141" t="s">
        <v>115</v>
      </c>
      <c r="F29" s="27"/>
      <c r="G29" s="23"/>
      <c r="H29" s="71"/>
      <c r="I29" s="23"/>
      <c r="J29" s="23"/>
      <c r="K29" s="23"/>
      <c r="L29" s="23"/>
      <c r="M29" s="71"/>
      <c r="N29" s="23"/>
      <c r="O29" s="23"/>
      <c r="P29" s="23"/>
      <c r="Q29" s="23"/>
      <c r="R29" s="23"/>
      <c r="S29" s="23"/>
      <c r="T29" s="23">
        <v>50</v>
      </c>
      <c r="U29" s="23">
        <v>150</v>
      </c>
      <c r="V29" s="23">
        <v>200</v>
      </c>
      <c r="W29" s="75"/>
      <c r="X29" s="23"/>
      <c r="Y29" s="23"/>
      <c r="Z29" s="23"/>
      <c r="AA29" s="23"/>
      <c r="AB29" s="27"/>
      <c r="AC29" s="27"/>
      <c r="AD29" s="27"/>
      <c r="AE29" s="27"/>
      <c r="AF29" s="27"/>
      <c r="AG29" s="27"/>
      <c r="AH29" s="27"/>
      <c r="AI29" s="27"/>
      <c r="AJ29" s="41"/>
      <c r="AK29" s="27"/>
      <c r="AL29" s="27"/>
      <c r="AM29" s="71"/>
      <c r="AN29" s="23"/>
      <c r="AO29" s="23">
        <v>150</v>
      </c>
      <c r="AP29" s="23">
        <v>150</v>
      </c>
      <c r="AQ29" s="23">
        <v>100</v>
      </c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75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71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75"/>
      <c r="CE29" s="23"/>
      <c r="CF29" s="23"/>
      <c r="CG29" s="23"/>
      <c r="CH29" s="23"/>
      <c r="CI29" s="27"/>
      <c r="CJ29" s="27"/>
      <c r="CK29" s="27"/>
      <c r="CL29" s="27"/>
      <c r="CM29" s="27"/>
      <c r="CN29" s="27"/>
      <c r="CO29" s="27"/>
      <c r="CP29" s="27"/>
      <c r="CQ29" s="41"/>
    </row>
    <row r="30" spans="1:95">
      <c r="A30" s="23" t="s">
        <v>108</v>
      </c>
      <c r="B30" s="24" t="s">
        <v>116</v>
      </c>
      <c r="C30" s="25"/>
      <c r="D30" s="25">
        <v>19314</v>
      </c>
      <c r="E30" s="141" t="s">
        <v>115</v>
      </c>
      <c r="F30" s="27"/>
      <c r="G30" s="202">
        <v>150</v>
      </c>
      <c r="H30" s="202">
        <v>150</v>
      </c>
      <c r="I30" s="202"/>
      <c r="J30" s="202">
        <v>150</v>
      </c>
      <c r="K30" s="202">
        <v>150</v>
      </c>
      <c r="L30" s="202">
        <v>150</v>
      </c>
      <c r="M30" s="202">
        <v>150</v>
      </c>
      <c r="N30" s="202">
        <f>100+314</f>
        <v>414</v>
      </c>
      <c r="O30" s="202"/>
      <c r="P30" s="202"/>
      <c r="Q30" s="202"/>
      <c r="R30" s="202"/>
      <c r="S30" s="202"/>
      <c r="T30" s="202"/>
      <c r="U30" s="202"/>
      <c r="V30" s="202"/>
      <c r="W30" s="204"/>
      <c r="X30" s="202"/>
      <c r="Y30" s="202"/>
      <c r="Z30" s="202"/>
      <c r="AA30" s="202"/>
      <c r="AB30" s="48">
        <v>300</v>
      </c>
      <c r="AC30" s="48">
        <v>300</v>
      </c>
      <c r="AD30" s="48"/>
      <c r="AE30" s="48">
        <f>300+200</f>
        <v>500</v>
      </c>
      <c r="AF30" s="48">
        <f>300+200</f>
        <v>500</v>
      </c>
      <c r="AG30" s="48">
        <f>300+200</f>
        <v>500</v>
      </c>
      <c r="AH30" s="48">
        <f>300+200</f>
        <v>500</v>
      </c>
      <c r="AI30" s="48">
        <f>200+200</f>
        <v>400</v>
      </c>
      <c r="AJ30" s="59"/>
      <c r="AK30" s="41"/>
      <c r="AL30" s="27"/>
      <c r="AM30" s="23"/>
      <c r="AN30" s="23"/>
      <c r="AO30" s="23"/>
      <c r="AP30" s="23"/>
      <c r="AQ30" s="23"/>
      <c r="AR30" s="23"/>
      <c r="AS30" s="23"/>
      <c r="AT30" s="23"/>
      <c r="AU30" s="23"/>
      <c r="AV30" s="23">
        <v>300</v>
      </c>
      <c r="AW30" s="23">
        <v>300</v>
      </c>
      <c r="AX30" s="23">
        <v>300</v>
      </c>
      <c r="AY30" s="23"/>
      <c r="AZ30" s="23">
        <f>300+200</f>
        <v>500</v>
      </c>
      <c r="BA30" s="23">
        <f>300+200</f>
        <v>500</v>
      </c>
      <c r="BB30" s="75">
        <f>300+200</f>
        <v>500</v>
      </c>
      <c r="BC30" s="23">
        <f>200+200</f>
        <v>400</v>
      </c>
      <c r="BD30" s="23">
        <v>100</v>
      </c>
      <c r="BE30" s="23">
        <v>250</v>
      </c>
      <c r="BF30" s="23">
        <v>250</v>
      </c>
      <c r="BG30" s="23">
        <f>300+250</f>
        <v>550</v>
      </c>
      <c r="BH30" s="23">
        <f>300+250</f>
        <v>550</v>
      </c>
      <c r="BI30" s="23">
        <f>300+250</f>
        <v>550</v>
      </c>
      <c r="BJ30" s="23">
        <f>350+250</f>
        <v>600</v>
      </c>
      <c r="BK30" s="23">
        <f>350+250</f>
        <v>600</v>
      </c>
      <c r="BL30" s="23">
        <f>400+250</f>
        <v>650</v>
      </c>
      <c r="BM30" s="75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75"/>
      <c r="CE30" s="23"/>
      <c r="CF30" s="23"/>
      <c r="CG30" s="23"/>
      <c r="CH30" s="23"/>
      <c r="CI30" s="27"/>
      <c r="CJ30" s="27"/>
      <c r="CK30" s="27"/>
      <c r="CL30" s="27"/>
      <c r="CM30" s="27"/>
      <c r="CN30" s="27"/>
      <c r="CO30" s="27"/>
      <c r="CP30" s="27"/>
      <c r="CQ30" s="41"/>
    </row>
    <row r="31" spans="1:95">
      <c r="A31" s="23" t="s">
        <v>108</v>
      </c>
      <c r="B31" s="24" t="s">
        <v>41</v>
      </c>
      <c r="C31" s="25"/>
      <c r="D31" s="25">
        <v>525</v>
      </c>
      <c r="E31" s="141" t="s">
        <v>115</v>
      </c>
      <c r="F31" s="27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>
        <v>100</v>
      </c>
      <c r="Z31" s="23">
        <v>100</v>
      </c>
      <c r="AA31" s="23">
        <v>50</v>
      </c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3"/>
      <c r="AN31" s="23"/>
      <c r="AO31" s="23"/>
      <c r="AP31" s="23"/>
      <c r="AQ31" s="23"/>
      <c r="AR31" s="23"/>
      <c r="AS31" s="23">
        <v>100</v>
      </c>
      <c r="AT31" s="23">
        <v>100</v>
      </c>
      <c r="AU31" s="23">
        <v>50</v>
      </c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7"/>
      <c r="CJ31" s="27"/>
      <c r="CK31" s="27"/>
      <c r="CL31" s="27"/>
      <c r="CM31" s="27"/>
      <c r="CN31" s="27"/>
      <c r="CO31" s="27"/>
      <c r="CP31" s="27"/>
      <c r="CQ31" s="41"/>
    </row>
    <row r="32" spans="1:95">
      <c r="A32" s="23" t="s">
        <v>108</v>
      </c>
      <c r="B32" s="24" t="s">
        <v>119</v>
      </c>
      <c r="C32" s="25"/>
      <c r="D32" s="25">
        <v>525</v>
      </c>
      <c r="E32" s="141" t="s">
        <v>115</v>
      </c>
      <c r="F32" s="27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7"/>
      <c r="W32" s="23"/>
      <c r="X32" s="23"/>
      <c r="Y32" s="23"/>
      <c r="Z32" s="23"/>
      <c r="AA32" s="23">
        <v>50</v>
      </c>
      <c r="AB32" s="27">
        <v>100</v>
      </c>
      <c r="AC32" s="27">
        <v>100</v>
      </c>
      <c r="AD32" s="27"/>
      <c r="AE32" s="27"/>
      <c r="AF32" s="27"/>
      <c r="AG32" s="27"/>
      <c r="AH32" s="27"/>
      <c r="AI32" s="27"/>
      <c r="AJ32" s="27"/>
      <c r="AK32" s="27"/>
      <c r="AL32" s="27"/>
      <c r="AM32" s="23"/>
      <c r="AN32" s="23"/>
      <c r="AO32" s="23"/>
      <c r="AP32" s="23"/>
      <c r="AQ32" s="23"/>
      <c r="AR32" s="23"/>
      <c r="AS32" s="23"/>
      <c r="AT32" s="23"/>
      <c r="AU32" s="23">
        <v>50</v>
      </c>
      <c r="AV32" s="23">
        <v>100</v>
      </c>
      <c r="AW32" s="23">
        <v>100</v>
      </c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7"/>
      <c r="CJ32" s="27"/>
      <c r="CK32" s="27"/>
      <c r="CL32" s="27"/>
      <c r="CM32" s="27"/>
      <c r="CN32" s="27"/>
      <c r="CO32" s="27"/>
      <c r="CP32" s="27"/>
      <c r="CQ32" s="41"/>
    </row>
    <row r="33" spans="1:95">
      <c r="A33" s="23" t="s">
        <v>108</v>
      </c>
      <c r="B33" s="24" t="s">
        <v>44</v>
      </c>
      <c r="C33" s="25"/>
      <c r="D33" s="25">
        <v>675</v>
      </c>
      <c r="E33" s="141" t="s">
        <v>115</v>
      </c>
      <c r="F33" s="27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>
        <v>100</v>
      </c>
      <c r="S33" s="23">
        <v>100</v>
      </c>
      <c r="T33" s="23"/>
      <c r="U33" s="23"/>
      <c r="V33" s="27"/>
      <c r="W33" s="23"/>
      <c r="X33" s="23"/>
      <c r="Y33" s="23"/>
      <c r="Z33" s="23"/>
      <c r="AA33" s="23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3"/>
      <c r="AN33" s="23">
        <v>100</v>
      </c>
      <c r="AO33" s="23">
        <v>100</v>
      </c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7"/>
      <c r="CJ33" s="27"/>
      <c r="CK33" s="27"/>
      <c r="CL33" s="27"/>
      <c r="CM33" s="27"/>
      <c r="CN33" s="27"/>
      <c r="CO33" s="27"/>
      <c r="CP33" s="27"/>
      <c r="CQ33" s="41"/>
    </row>
    <row r="34" spans="1:95">
      <c r="A34" s="23" t="s">
        <v>108</v>
      </c>
      <c r="B34" s="24" t="s">
        <v>120</v>
      </c>
      <c r="C34" s="25"/>
      <c r="D34" s="25">
        <v>825</v>
      </c>
      <c r="E34" s="141" t="s">
        <v>115</v>
      </c>
      <c r="F34" s="27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>
        <v>100</v>
      </c>
      <c r="U34" s="23">
        <v>100</v>
      </c>
      <c r="V34" s="27">
        <v>50</v>
      </c>
      <c r="W34" s="23"/>
      <c r="X34" s="23"/>
      <c r="Y34" s="23"/>
      <c r="Z34" s="23"/>
      <c r="AA34" s="23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3"/>
      <c r="AN34" s="23"/>
      <c r="AO34" s="23"/>
      <c r="AP34" s="23">
        <v>100</v>
      </c>
      <c r="AQ34" s="23">
        <v>150</v>
      </c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7"/>
      <c r="CJ34" s="27"/>
      <c r="CK34" s="27"/>
      <c r="CL34" s="27"/>
      <c r="CM34" s="27"/>
      <c r="CN34" s="27"/>
      <c r="CO34" s="27"/>
      <c r="CP34" s="27"/>
      <c r="CQ34" s="41"/>
    </row>
    <row r="35" spans="1:95">
      <c r="A35" s="23" t="s">
        <v>108</v>
      </c>
      <c r="B35" s="24" t="s">
        <v>47</v>
      </c>
      <c r="C35" s="25"/>
      <c r="D35" s="25">
        <v>972</v>
      </c>
      <c r="E35" s="141" t="s">
        <v>115</v>
      </c>
      <c r="F35" s="27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>
        <v>50</v>
      </c>
      <c r="R35" s="152">
        <v>50</v>
      </c>
      <c r="S35" s="152">
        <v>50</v>
      </c>
      <c r="T35" s="152">
        <v>50</v>
      </c>
      <c r="U35" s="152">
        <v>50</v>
      </c>
      <c r="V35" s="152">
        <v>50</v>
      </c>
      <c r="W35" s="152"/>
      <c r="X35" s="152">
        <v>24</v>
      </c>
      <c r="Y35" s="152"/>
      <c r="Z35" s="152"/>
      <c r="AA35" s="152"/>
      <c r="AB35" s="38"/>
      <c r="AC35" s="38"/>
      <c r="AD35" s="38"/>
      <c r="AE35" s="38"/>
      <c r="AF35" s="38"/>
      <c r="AG35" s="38"/>
      <c r="AH35" s="38"/>
      <c r="AI35" s="38"/>
      <c r="AJ35" s="60"/>
      <c r="AK35" s="27"/>
      <c r="AL35" s="27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7"/>
      <c r="CJ35" s="27"/>
      <c r="CK35" s="27"/>
      <c r="CL35" s="27"/>
      <c r="CM35" s="27"/>
      <c r="CN35" s="27"/>
      <c r="CO35" s="27"/>
      <c r="CP35" s="27"/>
      <c r="CQ35" s="41"/>
    </row>
    <row r="36" spans="1:95">
      <c r="A36" s="23" t="s">
        <v>108</v>
      </c>
      <c r="B36" s="24" t="s">
        <v>49</v>
      </c>
      <c r="C36" s="25"/>
      <c r="D36" s="25">
        <v>1120</v>
      </c>
      <c r="E36" s="141" t="s">
        <v>50</v>
      </c>
      <c r="F36" s="27"/>
      <c r="G36" s="23"/>
      <c r="H36" s="152"/>
      <c r="I36" s="152"/>
      <c r="J36" s="23"/>
      <c r="K36" s="23"/>
      <c r="L36" s="23">
        <v>20</v>
      </c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>
        <v>150</v>
      </c>
      <c r="Y36" s="23">
        <v>150</v>
      </c>
      <c r="Z36" s="23"/>
      <c r="AA36" s="23"/>
      <c r="AB36" s="27"/>
      <c r="AC36" s="27"/>
      <c r="AD36" s="27"/>
      <c r="AE36" s="27"/>
      <c r="AF36" s="27"/>
      <c r="AG36" s="27"/>
      <c r="AH36" s="27"/>
      <c r="AI36" s="27"/>
      <c r="AJ36" s="41"/>
      <c r="AK36" s="27"/>
      <c r="AL36" s="27"/>
      <c r="AM36" s="152"/>
      <c r="AN36" s="152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152"/>
      <c r="BJ36" s="152"/>
      <c r="BK36" s="23"/>
      <c r="BL36" s="23"/>
      <c r="BM36" s="23"/>
      <c r="BN36" s="23"/>
      <c r="BO36" s="152"/>
      <c r="BP36" s="152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7"/>
      <c r="CJ36" s="27"/>
      <c r="CK36" s="27"/>
      <c r="CL36" s="27"/>
      <c r="CM36" s="27"/>
      <c r="CN36" s="27"/>
      <c r="CO36" s="27"/>
      <c r="CP36" s="27"/>
      <c r="CQ36" s="41"/>
    </row>
    <row r="37" spans="1:95">
      <c r="A37" s="23" t="s">
        <v>108</v>
      </c>
      <c r="B37" s="24" t="s">
        <v>51</v>
      </c>
      <c r="C37" s="25"/>
      <c r="D37" s="25">
        <v>2442</v>
      </c>
      <c r="E37" s="141" t="s">
        <v>50</v>
      </c>
      <c r="F37" s="27"/>
      <c r="G37" s="152"/>
      <c r="H37" s="23"/>
      <c r="I37" s="23"/>
      <c r="J37" s="152"/>
      <c r="K37" s="152"/>
      <c r="L37" s="152"/>
      <c r="M37" s="152">
        <v>142</v>
      </c>
      <c r="N37" s="152"/>
      <c r="O37" s="152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>
        <v>150</v>
      </c>
      <c r="AA37" s="23">
        <v>150</v>
      </c>
      <c r="AB37" s="27">
        <v>150</v>
      </c>
      <c r="AC37" s="27">
        <v>150</v>
      </c>
      <c r="AD37" s="27"/>
      <c r="AE37" s="27">
        <v>100</v>
      </c>
      <c r="AF37" s="27"/>
      <c r="AG37" s="27"/>
      <c r="AH37" s="27"/>
      <c r="AI37" s="27"/>
      <c r="AJ37" s="41"/>
      <c r="AK37" s="27"/>
      <c r="AL37" s="27"/>
      <c r="AM37" s="23"/>
      <c r="AN37" s="23"/>
      <c r="AO37" s="152"/>
      <c r="AP37" s="152"/>
      <c r="AQ37" s="152"/>
      <c r="AR37" s="152"/>
      <c r="AS37" s="152"/>
      <c r="AT37" s="152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152"/>
      <c r="BL37" s="152"/>
      <c r="BM37" s="152"/>
      <c r="BN37" s="152"/>
      <c r="BO37" s="23"/>
      <c r="BP37" s="23"/>
      <c r="BQ37" s="152"/>
      <c r="BR37" s="152"/>
      <c r="BS37" s="152"/>
      <c r="BT37" s="152"/>
      <c r="BU37" s="152"/>
      <c r="BV37" s="152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7"/>
      <c r="CJ37" s="27"/>
      <c r="CK37" s="27"/>
      <c r="CL37" s="27"/>
      <c r="CM37" s="27"/>
      <c r="CN37" s="27"/>
      <c r="CO37" s="27"/>
      <c r="CP37" s="27"/>
      <c r="CQ37" s="41"/>
    </row>
    <row r="38" spans="1:95">
      <c r="A38" s="23" t="s">
        <v>108</v>
      </c>
      <c r="B38" s="24" t="s">
        <v>118</v>
      </c>
      <c r="C38" s="25"/>
      <c r="D38" s="25">
        <v>2075</v>
      </c>
      <c r="E38" s="141" t="s">
        <v>50</v>
      </c>
      <c r="F38" s="27"/>
      <c r="G38" s="152"/>
      <c r="H38" s="152"/>
      <c r="I38" s="152"/>
      <c r="J38" s="152"/>
      <c r="K38" s="152"/>
      <c r="L38" s="152"/>
      <c r="M38" s="152"/>
      <c r="N38" s="152">
        <v>100</v>
      </c>
      <c r="O38" s="152">
        <v>100</v>
      </c>
      <c r="P38" s="152"/>
      <c r="Q38" s="152">
        <v>75</v>
      </c>
      <c r="R38" s="152"/>
      <c r="S38" s="152"/>
      <c r="T38" s="152"/>
      <c r="U38" s="152"/>
      <c r="V38" s="152"/>
      <c r="W38" s="152"/>
      <c r="X38" s="152"/>
      <c r="Y38" s="152"/>
      <c r="Z38" s="152"/>
      <c r="AA38" s="152"/>
      <c r="AB38" s="38"/>
      <c r="AC38" s="38">
        <v>100</v>
      </c>
      <c r="AD38" s="38"/>
      <c r="AE38" s="38">
        <v>100</v>
      </c>
      <c r="AF38" s="38">
        <v>100</v>
      </c>
      <c r="AG38" s="38">
        <v>100</v>
      </c>
      <c r="AH38" s="38">
        <v>100</v>
      </c>
      <c r="AI38" s="38">
        <v>100</v>
      </c>
      <c r="AJ38" s="60"/>
      <c r="AK38" s="38"/>
      <c r="AL38" s="38"/>
      <c r="AM38" s="152"/>
      <c r="AN38" s="152"/>
      <c r="AO38" s="152"/>
      <c r="AP38" s="152"/>
      <c r="AQ38" s="152"/>
      <c r="AR38" s="152"/>
      <c r="AS38" s="152"/>
      <c r="AT38" s="152"/>
      <c r="AU38" s="152"/>
      <c r="AV38" s="152"/>
      <c r="AW38" s="152"/>
      <c r="AX38" s="152"/>
      <c r="AY38" s="152"/>
      <c r="AZ38" s="152"/>
      <c r="BA38" s="152"/>
      <c r="BB38" s="152"/>
      <c r="BC38" s="152"/>
      <c r="BD38" s="152"/>
      <c r="BE38" s="152"/>
      <c r="BF38" s="152"/>
      <c r="BG38" s="152"/>
      <c r="BH38" s="152"/>
      <c r="BI38" s="152"/>
      <c r="BJ38" s="152"/>
      <c r="BK38" s="152"/>
      <c r="BL38" s="152"/>
      <c r="BM38" s="152"/>
      <c r="BN38" s="152"/>
      <c r="BO38" s="152"/>
      <c r="BP38" s="152"/>
      <c r="BQ38" s="152"/>
      <c r="BR38" s="152"/>
      <c r="BS38" s="152"/>
      <c r="BT38" s="152"/>
      <c r="BU38" s="152"/>
      <c r="BV38" s="152"/>
      <c r="BW38" s="152"/>
      <c r="BX38" s="152"/>
      <c r="BY38" s="152"/>
      <c r="BZ38" s="152"/>
      <c r="CA38" s="152"/>
      <c r="CB38" s="152"/>
      <c r="CC38" s="152"/>
      <c r="CD38" s="152"/>
      <c r="CE38" s="152"/>
      <c r="CF38" s="152"/>
      <c r="CG38" s="152"/>
      <c r="CH38" s="152"/>
      <c r="CI38" s="38"/>
      <c r="CJ38" s="38"/>
      <c r="CK38" s="38"/>
      <c r="CL38" s="38"/>
      <c r="CM38" s="38"/>
      <c r="CN38" s="38"/>
      <c r="CO38" s="38"/>
      <c r="CP38" s="38"/>
      <c r="CQ38" s="60"/>
    </row>
    <row r="39" spans="1:95">
      <c r="A39" s="23" t="s">
        <v>108</v>
      </c>
      <c r="B39" s="24" t="s">
        <v>29</v>
      </c>
      <c r="C39" s="25"/>
      <c r="D39" s="25">
        <v>1325</v>
      </c>
      <c r="E39" s="137" t="s">
        <v>50</v>
      </c>
      <c r="F39" s="60"/>
      <c r="G39" s="23"/>
      <c r="H39" s="23"/>
      <c r="I39" s="23"/>
      <c r="J39" s="23"/>
      <c r="K39" s="23">
        <v>100</v>
      </c>
      <c r="L39" s="23"/>
      <c r="M39" s="23">
        <v>100</v>
      </c>
      <c r="N39" s="23"/>
      <c r="O39" s="23"/>
      <c r="P39" s="23"/>
      <c r="Q39" s="23">
        <v>100</v>
      </c>
      <c r="R39" s="23"/>
      <c r="S39" s="23"/>
      <c r="T39" s="23">
        <v>100</v>
      </c>
      <c r="U39" s="23"/>
      <c r="V39" s="23">
        <v>100</v>
      </c>
      <c r="W39" s="23"/>
      <c r="X39" s="23"/>
      <c r="Y39" s="23">
        <v>125</v>
      </c>
      <c r="Z39" s="23"/>
      <c r="AA39" s="23"/>
      <c r="AB39" s="27"/>
      <c r="AC39" s="27"/>
      <c r="AD39" s="27"/>
      <c r="AE39" s="27"/>
      <c r="AF39" s="27"/>
      <c r="AG39" s="27"/>
      <c r="AH39" s="27"/>
      <c r="AI39" s="27"/>
      <c r="AJ39" s="41"/>
      <c r="AK39" s="27"/>
      <c r="AL39" s="27"/>
      <c r="AM39" s="23">
        <v>100</v>
      </c>
      <c r="AN39" s="23"/>
      <c r="AO39" s="23"/>
      <c r="AP39" s="23"/>
      <c r="AQ39" s="23"/>
      <c r="AR39" s="23"/>
      <c r="AS39" s="23">
        <v>50</v>
      </c>
      <c r="AT39" s="23"/>
      <c r="AU39" s="23">
        <v>50</v>
      </c>
      <c r="AV39" s="23"/>
      <c r="AW39" s="23">
        <v>50</v>
      </c>
      <c r="AX39" s="23"/>
      <c r="AY39" s="23"/>
      <c r="AZ39" s="23">
        <v>50</v>
      </c>
      <c r="BA39" s="23"/>
      <c r="BB39" s="23">
        <v>50</v>
      </c>
      <c r="BC39" s="23"/>
      <c r="BD39" s="23">
        <v>50</v>
      </c>
      <c r="BE39" s="23"/>
      <c r="BF39" s="23"/>
      <c r="BG39" s="23">
        <v>50</v>
      </c>
      <c r="BH39" s="23"/>
      <c r="BI39" s="23">
        <v>50</v>
      </c>
      <c r="BJ39" s="23"/>
      <c r="BK39" s="23">
        <v>50</v>
      </c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7"/>
      <c r="CJ39" s="27"/>
      <c r="CK39" s="27"/>
      <c r="CL39" s="27"/>
      <c r="CM39" s="27"/>
      <c r="CN39" s="27"/>
      <c r="CO39" s="27"/>
      <c r="CP39" s="27"/>
      <c r="CQ39" s="41"/>
    </row>
    <row r="40" spans="1:95">
      <c r="A40" s="23" t="s">
        <v>108</v>
      </c>
      <c r="B40" s="24" t="s">
        <v>22</v>
      </c>
      <c r="C40" s="25"/>
      <c r="D40" s="25">
        <v>2050</v>
      </c>
      <c r="E40" s="137" t="s">
        <v>50</v>
      </c>
      <c r="F40" s="41"/>
      <c r="G40" s="23"/>
      <c r="H40" s="23"/>
      <c r="I40" s="23"/>
      <c r="J40" s="23"/>
      <c r="K40" s="23"/>
      <c r="L40" s="23">
        <v>100</v>
      </c>
      <c r="M40" s="23"/>
      <c r="N40" s="23">
        <v>100</v>
      </c>
      <c r="O40" s="23">
        <v>100</v>
      </c>
      <c r="P40" s="23"/>
      <c r="Q40" s="23"/>
      <c r="R40" s="23">
        <v>100</v>
      </c>
      <c r="S40" s="23">
        <v>100</v>
      </c>
      <c r="T40" s="23"/>
      <c r="U40" s="23">
        <v>100</v>
      </c>
      <c r="V40" s="23"/>
      <c r="W40" s="23"/>
      <c r="X40" s="23">
        <v>100</v>
      </c>
      <c r="Y40" s="23"/>
      <c r="Z40" s="23">
        <v>100</v>
      </c>
      <c r="AA40" s="23">
        <v>100</v>
      </c>
      <c r="AB40" s="27">
        <v>50</v>
      </c>
      <c r="AC40" s="27"/>
      <c r="AD40" s="27"/>
      <c r="AE40" s="27"/>
      <c r="AF40" s="27"/>
      <c r="AG40" s="27"/>
      <c r="AH40" s="27"/>
      <c r="AI40" s="27"/>
      <c r="AJ40" s="41"/>
      <c r="AK40" s="27"/>
      <c r="AL40" s="27"/>
      <c r="AM40" s="23"/>
      <c r="AN40" s="23">
        <v>100</v>
      </c>
      <c r="AO40" s="23"/>
      <c r="AP40" s="23"/>
      <c r="AQ40" s="23"/>
      <c r="AR40" s="23"/>
      <c r="AS40" s="23"/>
      <c r="AT40" s="23">
        <v>50</v>
      </c>
      <c r="AU40" s="23"/>
      <c r="AV40" s="23">
        <v>50</v>
      </c>
      <c r="AW40" s="23"/>
      <c r="AX40" s="23">
        <v>50</v>
      </c>
      <c r="AY40" s="23"/>
      <c r="AZ40" s="23"/>
      <c r="BA40" s="23">
        <v>50</v>
      </c>
      <c r="BB40" s="23"/>
      <c r="BC40" s="23">
        <v>50</v>
      </c>
      <c r="BD40" s="23"/>
      <c r="BE40" s="23">
        <v>50</v>
      </c>
      <c r="BF40" s="23"/>
      <c r="BG40" s="23"/>
      <c r="BH40" s="23">
        <v>50</v>
      </c>
      <c r="BI40" s="23"/>
      <c r="BJ40" s="23">
        <v>50</v>
      </c>
      <c r="BK40" s="23"/>
      <c r="BL40" s="23">
        <v>50</v>
      </c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7"/>
      <c r="CJ40" s="27"/>
      <c r="CK40" s="27"/>
      <c r="CL40" s="27"/>
      <c r="CM40" s="27"/>
      <c r="CN40" s="27"/>
      <c r="CO40" s="27"/>
      <c r="CP40" s="27"/>
      <c r="CQ40" s="41"/>
    </row>
    <row r="41" spans="1:95">
      <c r="A41" s="23" t="s">
        <v>108</v>
      </c>
      <c r="B41" s="24" t="s">
        <v>121</v>
      </c>
      <c r="C41" s="25"/>
      <c r="D41" s="25">
        <v>30</v>
      </c>
      <c r="E41" s="138" t="s">
        <v>50</v>
      </c>
      <c r="F41" s="59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38"/>
      <c r="AC41" s="38"/>
      <c r="AD41" s="38"/>
      <c r="AE41" s="38"/>
      <c r="AF41" s="38"/>
      <c r="AG41" s="38"/>
      <c r="AH41" s="38"/>
      <c r="AI41" s="38"/>
      <c r="AJ41" s="60"/>
      <c r="AK41" s="38"/>
      <c r="AL41" s="38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2"/>
      <c r="CD41" s="152"/>
      <c r="CE41" s="152"/>
      <c r="CF41" s="152"/>
      <c r="CG41" s="152"/>
      <c r="CH41" s="152"/>
      <c r="CI41" s="38"/>
      <c r="CJ41" s="38"/>
      <c r="CK41" s="38"/>
      <c r="CL41" s="38"/>
      <c r="CM41" s="38"/>
      <c r="CN41" s="38"/>
      <c r="CO41" s="38"/>
      <c r="CP41" s="38"/>
      <c r="CQ41" s="60"/>
    </row>
    <row r="42" spans="1:95">
      <c r="A42" s="23" t="s">
        <v>108</v>
      </c>
      <c r="B42" s="24" t="s">
        <v>72</v>
      </c>
      <c r="C42" s="25"/>
      <c r="D42" s="25">
        <v>900</v>
      </c>
      <c r="E42" s="137" t="s">
        <v>50</v>
      </c>
      <c r="F42" s="27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>
        <v>100</v>
      </c>
      <c r="AA42" s="152"/>
      <c r="AB42" s="38">
        <v>100</v>
      </c>
      <c r="AC42" s="38"/>
      <c r="AD42" s="38"/>
      <c r="AE42" s="38"/>
      <c r="AF42" s="38">
        <v>100</v>
      </c>
      <c r="AG42" s="38"/>
      <c r="AH42" s="38">
        <v>100</v>
      </c>
      <c r="AI42" s="38"/>
      <c r="AJ42" s="60"/>
      <c r="AK42" s="38"/>
      <c r="AL42" s="38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>
        <v>75</v>
      </c>
      <c r="AX42" s="152"/>
      <c r="AY42" s="152"/>
      <c r="AZ42" s="152">
        <v>75</v>
      </c>
      <c r="BA42" s="152"/>
      <c r="BB42" s="152">
        <v>75</v>
      </c>
      <c r="BC42" s="152"/>
      <c r="BD42" s="152">
        <v>75</v>
      </c>
      <c r="BE42" s="152"/>
      <c r="BF42" s="152"/>
      <c r="BG42" s="152">
        <v>75</v>
      </c>
      <c r="BH42" s="152"/>
      <c r="BI42" s="152">
        <v>75</v>
      </c>
      <c r="BJ42" s="152"/>
      <c r="BK42" s="152"/>
      <c r="BL42" s="152"/>
      <c r="BM42" s="152"/>
      <c r="BN42" s="152"/>
      <c r="BO42" s="152"/>
      <c r="BP42" s="152"/>
      <c r="BQ42" s="152"/>
      <c r="BR42" s="152"/>
      <c r="BS42" s="152"/>
      <c r="BT42" s="152"/>
      <c r="BU42" s="152"/>
      <c r="BV42" s="152"/>
      <c r="BW42" s="152"/>
      <c r="BX42" s="152"/>
      <c r="BY42" s="152"/>
      <c r="BZ42" s="152"/>
      <c r="CA42" s="152"/>
      <c r="CB42" s="152"/>
      <c r="CC42" s="152"/>
      <c r="CD42" s="152"/>
      <c r="CE42" s="152"/>
      <c r="CF42" s="152"/>
      <c r="CG42" s="152"/>
      <c r="CH42" s="152"/>
      <c r="CI42" s="38"/>
      <c r="CJ42" s="38"/>
      <c r="CK42" s="38"/>
      <c r="CL42" s="38"/>
      <c r="CM42" s="38"/>
      <c r="CN42" s="38"/>
      <c r="CO42" s="38"/>
      <c r="CP42" s="38"/>
      <c r="CQ42" s="60"/>
    </row>
    <row r="43" spans="1:95">
      <c r="A43" s="23" t="s">
        <v>108</v>
      </c>
      <c r="B43" s="24" t="s">
        <v>61</v>
      </c>
      <c r="C43" s="25"/>
      <c r="D43" s="25">
        <v>1600</v>
      </c>
      <c r="E43" s="137" t="s">
        <v>50</v>
      </c>
      <c r="F43" s="27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>
        <v>100</v>
      </c>
      <c r="AB43" s="38"/>
      <c r="AC43" s="38">
        <v>100</v>
      </c>
      <c r="AD43" s="38"/>
      <c r="AE43" s="38">
        <v>100</v>
      </c>
      <c r="AF43" s="38"/>
      <c r="AG43" s="38">
        <v>100</v>
      </c>
      <c r="AH43" s="38"/>
      <c r="AI43" s="38">
        <v>100</v>
      </c>
      <c r="AJ43" s="60">
        <v>100</v>
      </c>
      <c r="AK43" s="38"/>
      <c r="AL43" s="38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>
        <v>75</v>
      </c>
      <c r="AY43" s="152"/>
      <c r="AZ43" s="152"/>
      <c r="BA43" s="152">
        <v>75</v>
      </c>
      <c r="BB43" s="152"/>
      <c r="BC43" s="152">
        <v>75</v>
      </c>
      <c r="BD43" s="152"/>
      <c r="BE43" s="152">
        <v>75</v>
      </c>
      <c r="BF43" s="152"/>
      <c r="BG43" s="152"/>
      <c r="BH43" s="152">
        <v>75</v>
      </c>
      <c r="BI43" s="152"/>
      <c r="BJ43" s="152">
        <v>75</v>
      </c>
      <c r="BK43" s="152"/>
      <c r="BL43" s="152">
        <v>75</v>
      </c>
      <c r="BM43" s="152"/>
      <c r="BN43" s="152"/>
      <c r="BO43" s="152"/>
      <c r="BP43" s="152"/>
      <c r="BQ43" s="152"/>
      <c r="BR43" s="152"/>
      <c r="BS43" s="152"/>
      <c r="BT43" s="152"/>
      <c r="BU43" s="152"/>
      <c r="BV43" s="152"/>
      <c r="BW43" s="152"/>
      <c r="BX43" s="152"/>
      <c r="BY43" s="152"/>
      <c r="BZ43" s="152"/>
      <c r="CA43" s="152"/>
      <c r="CB43" s="152"/>
      <c r="CC43" s="152"/>
      <c r="CD43" s="152"/>
      <c r="CE43" s="152"/>
      <c r="CF43" s="152"/>
      <c r="CG43" s="152"/>
      <c r="CH43" s="152"/>
      <c r="CI43" s="38"/>
      <c r="CJ43" s="38"/>
      <c r="CK43" s="38"/>
      <c r="CL43" s="38"/>
      <c r="CM43" s="38"/>
      <c r="CN43" s="38"/>
      <c r="CO43" s="38"/>
      <c r="CP43" s="38"/>
      <c r="CQ43" s="60"/>
    </row>
    <row r="44" spans="1:95">
      <c r="A44" s="23" t="s">
        <v>108</v>
      </c>
      <c r="B44" s="24" t="s">
        <v>55</v>
      </c>
      <c r="C44" s="25"/>
      <c r="D44" s="25">
        <v>250</v>
      </c>
      <c r="E44" s="137" t="s">
        <v>115</v>
      </c>
      <c r="F44" s="38"/>
      <c r="G44" s="152"/>
      <c r="H44" s="152"/>
      <c r="I44" s="152"/>
      <c r="J44" s="152"/>
      <c r="K44" s="152"/>
      <c r="L44" s="152"/>
      <c r="M44" s="152">
        <v>50</v>
      </c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38"/>
      <c r="AC44" s="38"/>
      <c r="AD44" s="38"/>
      <c r="AE44" s="38"/>
      <c r="AF44" s="38"/>
      <c r="AG44" s="38"/>
      <c r="AH44" s="38"/>
      <c r="AI44" s="38"/>
      <c r="AJ44" s="60"/>
      <c r="AK44" s="38"/>
      <c r="AL44" s="38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  <c r="BO44" s="152"/>
      <c r="BP44" s="152"/>
      <c r="BQ44" s="152"/>
      <c r="BR44" s="152"/>
      <c r="BS44" s="152"/>
      <c r="BT44" s="152"/>
      <c r="BU44" s="152"/>
      <c r="BV44" s="152"/>
      <c r="BW44" s="152"/>
      <c r="BX44" s="152"/>
      <c r="BY44" s="152"/>
      <c r="BZ44" s="152"/>
      <c r="CA44" s="152"/>
      <c r="CB44" s="152"/>
      <c r="CC44" s="152"/>
      <c r="CD44" s="152"/>
      <c r="CE44" s="152"/>
      <c r="CF44" s="152"/>
      <c r="CG44" s="152"/>
      <c r="CH44" s="152"/>
      <c r="CI44" s="38"/>
      <c r="CJ44" s="38"/>
      <c r="CK44" s="38"/>
      <c r="CL44" s="38"/>
      <c r="CM44" s="38"/>
      <c r="CN44" s="38"/>
      <c r="CO44" s="38"/>
      <c r="CP44" s="38"/>
      <c r="CQ44" s="60"/>
    </row>
    <row r="45" spans="1:95">
      <c r="A45" s="23" t="s">
        <v>108</v>
      </c>
      <c r="B45" s="24" t="s">
        <v>56</v>
      </c>
      <c r="C45" s="25"/>
      <c r="D45" s="25">
        <v>250</v>
      </c>
      <c r="E45" s="137" t="s">
        <v>115</v>
      </c>
      <c r="F45" s="38"/>
      <c r="G45" s="152"/>
      <c r="H45" s="152"/>
      <c r="I45" s="152"/>
      <c r="J45" s="152"/>
      <c r="K45" s="152"/>
      <c r="L45" s="152"/>
      <c r="M45" s="152"/>
      <c r="N45" s="152">
        <v>50</v>
      </c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  <c r="AB45" s="38"/>
      <c r="AC45" s="38"/>
      <c r="AD45" s="38"/>
      <c r="AE45" s="38"/>
      <c r="AF45" s="38"/>
      <c r="AG45" s="38"/>
      <c r="AH45" s="38"/>
      <c r="AI45" s="38"/>
      <c r="AJ45" s="60"/>
      <c r="AK45" s="38"/>
      <c r="AL45" s="38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52"/>
      <c r="BC45" s="152"/>
      <c r="BD45" s="152"/>
      <c r="BE45" s="152"/>
      <c r="BF45" s="152"/>
      <c r="BG45" s="152"/>
      <c r="BH45" s="152"/>
      <c r="BI45" s="152"/>
      <c r="BJ45" s="152"/>
      <c r="BK45" s="152"/>
      <c r="BL45" s="152"/>
      <c r="BM45" s="152"/>
      <c r="BN45" s="152"/>
      <c r="BO45" s="152"/>
      <c r="BP45" s="152"/>
      <c r="BQ45" s="152"/>
      <c r="BR45" s="152"/>
      <c r="BS45" s="152"/>
      <c r="BT45" s="152"/>
      <c r="BU45" s="152"/>
      <c r="BV45" s="152"/>
      <c r="BW45" s="152"/>
      <c r="BX45" s="152"/>
      <c r="BY45" s="152"/>
      <c r="BZ45" s="152"/>
      <c r="CA45" s="152"/>
      <c r="CB45" s="152"/>
      <c r="CC45" s="152"/>
      <c r="CD45" s="152"/>
      <c r="CE45" s="152"/>
      <c r="CF45" s="152"/>
      <c r="CG45" s="152"/>
      <c r="CH45" s="152"/>
      <c r="CI45" s="38"/>
      <c r="CJ45" s="38"/>
      <c r="CK45" s="38"/>
      <c r="CL45" s="38"/>
      <c r="CM45" s="38"/>
      <c r="CN45" s="38"/>
      <c r="CO45" s="38"/>
      <c r="CP45" s="38"/>
      <c r="CQ45" s="60"/>
    </row>
    <row r="46" spans="1:95">
      <c r="A46" s="23" t="s">
        <v>108</v>
      </c>
      <c r="B46" s="24" t="s">
        <v>77</v>
      </c>
      <c r="C46" s="25"/>
      <c r="D46" s="25">
        <v>50</v>
      </c>
      <c r="E46" s="137" t="s">
        <v>115</v>
      </c>
      <c r="F46" s="38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  <c r="AB46" s="38"/>
      <c r="AC46" s="38"/>
      <c r="AD46" s="38"/>
      <c r="AE46" s="38"/>
      <c r="AF46" s="38"/>
      <c r="AG46" s="38"/>
      <c r="AH46" s="38"/>
      <c r="AI46" s="38"/>
      <c r="AJ46" s="60"/>
      <c r="AK46" s="38"/>
      <c r="AL46" s="38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38"/>
      <c r="CJ46" s="38"/>
      <c r="CK46" s="38"/>
      <c r="CL46" s="38"/>
      <c r="CM46" s="38"/>
      <c r="CN46" s="38"/>
      <c r="CO46" s="38"/>
      <c r="CP46" s="38"/>
      <c r="CQ46" s="60"/>
    </row>
    <row r="47" spans="1:95">
      <c r="A47" s="23" t="s">
        <v>108</v>
      </c>
      <c r="B47" s="24" t="s">
        <v>78</v>
      </c>
      <c r="C47" s="25"/>
      <c r="D47" s="25">
        <v>50</v>
      </c>
      <c r="E47" s="137" t="s">
        <v>115</v>
      </c>
      <c r="F47" s="38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38"/>
      <c r="AC47" s="38"/>
      <c r="AD47" s="38"/>
      <c r="AE47" s="38"/>
      <c r="AF47" s="38"/>
      <c r="AG47" s="38"/>
      <c r="AH47" s="38"/>
      <c r="AI47" s="38"/>
      <c r="AJ47" s="60"/>
      <c r="AK47" s="38"/>
      <c r="AL47" s="38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R47" s="152"/>
      <c r="BS47" s="152"/>
      <c r="BT47" s="152"/>
      <c r="BU47" s="152"/>
      <c r="BV47" s="152"/>
      <c r="BW47" s="152"/>
      <c r="BX47" s="152"/>
      <c r="BY47" s="152"/>
      <c r="BZ47" s="152"/>
      <c r="CA47" s="152"/>
      <c r="CB47" s="152"/>
      <c r="CC47" s="152"/>
      <c r="CD47" s="152"/>
      <c r="CE47" s="152"/>
      <c r="CF47" s="152"/>
      <c r="CG47" s="152"/>
      <c r="CH47" s="152"/>
      <c r="CI47" s="38"/>
      <c r="CJ47" s="38"/>
      <c r="CK47" s="38"/>
      <c r="CL47" s="38"/>
      <c r="CM47" s="38"/>
      <c r="CN47" s="38"/>
      <c r="CO47" s="38"/>
      <c r="CP47" s="38"/>
      <c r="CQ47" s="60"/>
    </row>
    <row r="48" spans="1:95">
      <c r="A48" s="28" t="s">
        <v>122</v>
      </c>
      <c r="B48" s="29" t="s">
        <v>84</v>
      </c>
      <c r="C48" s="29"/>
      <c r="D48" s="30">
        <v>400</v>
      </c>
      <c r="E48" s="139" t="s">
        <v>115</v>
      </c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43"/>
      <c r="AL48" s="43"/>
      <c r="AM48" s="136"/>
      <c r="AN48" s="136"/>
      <c r="AO48" s="136"/>
      <c r="AP48" s="136"/>
      <c r="AQ48" s="136"/>
      <c r="AR48" s="136"/>
      <c r="AS48" s="136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6"/>
    </row>
    <row r="49" spans="1:95">
      <c r="A49" s="28" t="s">
        <v>122</v>
      </c>
      <c r="B49" s="29" t="s">
        <v>34</v>
      </c>
      <c r="C49" s="29"/>
      <c r="D49" s="30">
        <v>400</v>
      </c>
      <c r="E49" s="139" t="s">
        <v>115</v>
      </c>
      <c r="F49" s="28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32"/>
      <c r="AL49" s="32"/>
      <c r="AM49" s="28"/>
      <c r="AN49" s="28"/>
      <c r="AO49" s="28"/>
      <c r="AP49" s="28"/>
      <c r="AQ49" s="28"/>
      <c r="AR49" s="28"/>
      <c r="AS49" s="28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  <c r="CI49" s="32"/>
      <c r="CJ49" s="32"/>
      <c r="CK49" s="32"/>
      <c r="CL49" s="32"/>
      <c r="CM49" s="32"/>
      <c r="CN49" s="32"/>
      <c r="CO49" s="32"/>
      <c r="CP49" s="32"/>
      <c r="CQ49" s="47"/>
    </row>
    <row r="50" spans="1:95">
      <c r="A50" s="28" t="s">
        <v>122</v>
      </c>
      <c r="B50" s="29" t="s">
        <v>36</v>
      </c>
      <c r="C50" s="29"/>
      <c r="D50" s="30">
        <v>745</v>
      </c>
      <c r="E50" s="139" t="s">
        <v>115</v>
      </c>
      <c r="F50" s="28"/>
      <c r="G50" s="36"/>
      <c r="H50" s="47"/>
      <c r="I50" s="32"/>
      <c r="J50" s="32"/>
      <c r="K50" s="32"/>
      <c r="L50" s="32"/>
      <c r="M50" s="32"/>
      <c r="N50" s="32"/>
      <c r="O50" s="32"/>
      <c r="P50" s="32"/>
      <c r="Q50" s="32"/>
      <c r="R50" s="36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28"/>
      <c r="AN50" s="28"/>
      <c r="AO50" s="28"/>
      <c r="AP50" s="28"/>
      <c r="AQ50" s="28"/>
      <c r="AR50" s="28"/>
      <c r="AS50" s="28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47"/>
    </row>
    <row r="51" spans="1:95">
      <c r="A51" s="28" t="s">
        <v>122</v>
      </c>
      <c r="B51" s="29" t="s">
        <v>37</v>
      </c>
      <c r="C51" s="29"/>
      <c r="D51" s="30">
        <v>600</v>
      </c>
      <c r="E51" s="139" t="s">
        <v>115</v>
      </c>
      <c r="F51" s="28"/>
      <c r="G51" s="36"/>
      <c r="H51" s="47"/>
      <c r="I51" s="32"/>
      <c r="J51" s="32"/>
      <c r="K51" s="32"/>
      <c r="L51" s="32"/>
      <c r="M51" s="32"/>
      <c r="N51" s="32"/>
      <c r="O51" s="32"/>
      <c r="P51" s="32"/>
      <c r="Q51" s="32"/>
      <c r="R51" s="36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28"/>
      <c r="AN51" s="28"/>
      <c r="AO51" s="28"/>
      <c r="AP51" s="28"/>
      <c r="AQ51" s="28"/>
      <c r="AR51" s="28"/>
      <c r="AS51" s="28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47"/>
    </row>
    <row r="52" spans="1:95">
      <c r="A52" s="28" t="s">
        <v>122</v>
      </c>
      <c r="B52" s="29" t="s">
        <v>116</v>
      </c>
      <c r="C52" s="29"/>
      <c r="D52" s="30">
        <v>19314</v>
      </c>
      <c r="E52" s="139" t="s">
        <v>115</v>
      </c>
      <c r="F52" s="28"/>
      <c r="G52" s="36"/>
      <c r="H52" s="47"/>
      <c r="I52" s="32"/>
      <c r="J52" s="32"/>
      <c r="K52" s="32"/>
      <c r="L52" s="32"/>
      <c r="M52" s="32"/>
      <c r="N52" s="32"/>
      <c r="O52" s="45"/>
      <c r="P52" s="45"/>
      <c r="Q52" s="45"/>
      <c r="R52" s="36"/>
      <c r="S52" s="32"/>
      <c r="T52" s="32"/>
      <c r="U52" s="32"/>
      <c r="V52" s="32"/>
      <c r="W52" s="32"/>
      <c r="X52" s="32"/>
      <c r="Y52" s="32"/>
      <c r="Z52" s="32">
        <v>200</v>
      </c>
      <c r="AA52" s="32">
        <v>169</v>
      </c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28"/>
      <c r="AN52" s="28"/>
      <c r="AO52" s="28"/>
      <c r="AP52" s="28"/>
      <c r="AQ52" s="28"/>
      <c r="AR52" s="28"/>
      <c r="AS52" s="28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32"/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47"/>
    </row>
    <row r="53" spans="1:95">
      <c r="A53" s="28" t="s">
        <v>122</v>
      </c>
      <c r="B53" s="29" t="s">
        <v>41</v>
      </c>
      <c r="C53" s="29"/>
      <c r="D53" s="30">
        <v>525</v>
      </c>
      <c r="E53" s="139" t="s">
        <v>115</v>
      </c>
      <c r="F53" s="28"/>
      <c r="G53" s="36"/>
      <c r="H53" s="47"/>
      <c r="I53" s="32"/>
      <c r="J53" s="32"/>
      <c r="K53" s="32"/>
      <c r="L53" s="32"/>
      <c r="M53" s="32"/>
      <c r="N53" s="32"/>
      <c r="O53" s="45"/>
      <c r="P53" s="45"/>
      <c r="Q53" s="45"/>
      <c r="R53" s="36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28"/>
      <c r="AN53" s="28"/>
      <c r="AO53" s="28"/>
      <c r="AP53" s="28"/>
      <c r="AQ53" s="28"/>
      <c r="AR53" s="28"/>
      <c r="AS53" s="28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  <c r="CL53" s="32"/>
      <c r="CM53" s="32"/>
      <c r="CN53" s="32"/>
      <c r="CO53" s="32"/>
      <c r="CP53" s="32"/>
      <c r="CQ53" s="47"/>
    </row>
    <row r="54" spans="1:95">
      <c r="A54" s="28" t="s">
        <v>122</v>
      </c>
      <c r="B54" s="29" t="s">
        <v>119</v>
      </c>
      <c r="C54" s="29"/>
      <c r="D54" s="30">
        <v>525</v>
      </c>
      <c r="E54" s="139" t="s">
        <v>115</v>
      </c>
      <c r="F54" s="28"/>
      <c r="G54" s="36"/>
      <c r="H54" s="32"/>
      <c r="I54" s="43"/>
      <c r="J54" s="43"/>
      <c r="K54" s="43"/>
      <c r="L54" s="43"/>
      <c r="M54" s="43"/>
      <c r="N54" s="43"/>
      <c r="O54" s="43"/>
      <c r="P54" s="43"/>
      <c r="Q54" s="43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28"/>
      <c r="AN54" s="28"/>
      <c r="AO54" s="28"/>
      <c r="AP54" s="28"/>
      <c r="AQ54" s="28"/>
      <c r="AR54" s="28"/>
      <c r="AS54" s="28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47"/>
    </row>
    <row r="55" spans="1:95">
      <c r="A55" s="28" t="s">
        <v>122</v>
      </c>
      <c r="B55" s="29" t="s">
        <v>44</v>
      </c>
      <c r="C55" s="29"/>
      <c r="D55" s="30">
        <v>675</v>
      </c>
      <c r="E55" s="139" t="s">
        <v>115</v>
      </c>
      <c r="F55" s="28"/>
      <c r="G55" s="36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28"/>
      <c r="AN55" s="28"/>
      <c r="AO55" s="28"/>
      <c r="AP55" s="28"/>
      <c r="AQ55" s="28"/>
      <c r="AR55" s="28"/>
      <c r="AS55" s="28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  <c r="CL55" s="32"/>
      <c r="CM55" s="32"/>
      <c r="CN55" s="32"/>
      <c r="CO55" s="32"/>
      <c r="CP55" s="32"/>
      <c r="CQ55" s="47"/>
    </row>
    <row r="56" spans="1:95">
      <c r="A56" s="28" t="s">
        <v>122</v>
      </c>
      <c r="B56" s="29" t="s">
        <v>120</v>
      </c>
      <c r="C56" s="29"/>
      <c r="D56" s="30">
        <v>825</v>
      </c>
      <c r="E56" s="139" t="s">
        <v>115</v>
      </c>
      <c r="F56" s="28"/>
      <c r="G56" s="36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28"/>
      <c r="AN56" s="28"/>
      <c r="AO56" s="28"/>
      <c r="AP56" s="28"/>
      <c r="AQ56" s="28"/>
      <c r="AR56" s="28"/>
      <c r="AS56" s="28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47"/>
    </row>
    <row r="57" spans="1:95">
      <c r="A57" s="28" t="s">
        <v>122</v>
      </c>
      <c r="B57" s="29" t="s">
        <v>47</v>
      </c>
      <c r="C57" s="29"/>
      <c r="D57" s="30">
        <v>972</v>
      </c>
      <c r="E57" s="139" t="s">
        <v>115</v>
      </c>
      <c r="F57" s="28"/>
      <c r="G57" s="36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28"/>
      <c r="AN57" s="28"/>
      <c r="AO57" s="28"/>
      <c r="AP57" s="28"/>
      <c r="AQ57" s="28"/>
      <c r="AR57" s="28"/>
      <c r="AS57" s="28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47"/>
    </row>
    <row r="58" spans="1:95">
      <c r="A58" s="28" t="s">
        <v>122</v>
      </c>
      <c r="B58" s="29" t="s">
        <v>49</v>
      </c>
      <c r="C58" s="29"/>
      <c r="D58" s="30">
        <v>1120</v>
      </c>
      <c r="E58" s="139" t="s">
        <v>50</v>
      </c>
      <c r="F58" s="28"/>
      <c r="G58" s="36"/>
      <c r="H58" s="32"/>
      <c r="I58" s="32"/>
      <c r="J58" s="32"/>
      <c r="K58" s="32"/>
      <c r="L58" s="32"/>
      <c r="M58" s="32"/>
      <c r="N58" s="32"/>
      <c r="O58" s="45"/>
      <c r="P58" s="45"/>
      <c r="Q58" s="45"/>
      <c r="R58" s="32"/>
      <c r="S58" s="32"/>
      <c r="T58" s="32"/>
      <c r="U58" s="32"/>
      <c r="V58" s="32"/>
      <c r="W58" s="32"/>
      <c r="X58" s="32"/>
      <c r="Y58" s="32">
        <v>100</v>
      </c>
      <c r="Z58" s="32">
        <v>50</v>
      </c>
      <c r="AA58" s="32"/>
      <c r="AB58" s="32"/>
      <c r="AC58" s="32">
        <v>100</v>
      </c>
      <c r="AD58" s="32">
        <v>50</v>
      </c>
      <c r="AE58" s="32"/>
      <c r="AF58" s="32"/>
      <c r="AG58" s="32"/>
      <c r="AH58" s="32"/>
      <c r="AI58" s="32"/>
      <c r="AJ58" s="32"/>
      <c r="AK58" s="32"/>
      <c r="AL58" s="32"/>
      <c r="AM58" s="28"/>
      <c r="AN58" s="28"/>
      <c r="AO58" s="28"/>
      <c r="AP58" s="28"/>
      <c r="AQ58" s="28"/>
      <c r="AR58" s="28"/>
      <c r="AS58" s="28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47"/>
    </row>
    <row r="59" spans="1:95">
      <c r="A59" s="28" t="s">
        <v>122</v>
      </c>
      <c r="B59" s="29" t="s">
        <v>51</v>
      </c>
      <c r="C59" s="29"/>
      <c r="D59" s="30">
        <v>2442</v>
      </c>
      <c r="E59" s="139" t="s">
        <v>50</v>
      </c>
      <c r="F59" s="28"/>
      <c r="G59" s="36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47"/>
    </row>
    <row r="60" spans="1:95" ht="16.5" customHeight="1">
      <c r="A60" s="28" t="s">
        <v>122</v>
      </c>
      <c r="B60" s="29" t="s">
        <v>118</v>
      </c>
      <c r="C60" s="29"/>
      <c r="D60" s="30">
        <v>2075</v>
      </c>
      <c r="E60" s="139" t="s">
        <v>50</v>
      </c>
      <c r="F60" s="28"/>
      <c r="G60" s="36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>
        <v>100</v>
      </c>
      <c r="AB60" s="32">
        <v>100</v>
      </c>
      <c r="AC60" s="32">
        <v>69</v>
      </c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32"/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47"/>
    </row>
    <row r="61" spans="1:95">
      <c r="A61" s="28" t="s">
        <v>122</v>
      </c>
      <c r="B61" s="29" t="s">
        <v>29</v>
      </c>
      <c r="C61" s="29"/>
      <c r="D61" s="30">
        <v>1325</v>
      </c>
      <c r="E61" s="139" t="s">
        <v>50</v>
      </c>
      <c r="F61" s="28"/>
      <c r="G61" s="36"/>
      <c r="H61" s="32"/>
      <c r="I61" s="32"/>
      <c r="J61" s="32"/>
      <c r="K61" s="28"/>
      <c r="L61" s="28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>
        <v>100</v>
      </c>
      <c r="Z61" s="32">
        <v>100</v>
      </c>
      <c r="AA61" s="32">
        <v>50</v>
      </c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2"/>
      <c r="CB61" s="32"/>
      <c r="CC61" s="32"/>
      <c r="CD61" s="32"/>
      <c r="CE61" s="32"/>
      <c r="CF61" s="32"/>
      <c r="CG61" s="32"/>
      <c r="CH61" s="32"/>
      <c r="CI61" s="32"/>
      <c r="CJ61" s="32"/>
      <c r="CK61" s="32"/>
      <c r="CL61" s="32"/>
      <c r="CM61" s="32"/>
      <c r="CN61" s="32"/>
      <c r="CO61" s="32"/>
      <c r="CP61" s="32"/>
      <c r="CQ61" s="47"/>
    </row>
    <row r="62" spans="1:95">
      <c r="A62" s="28" t="s">
        <v>122</v>
      </c>
      <c r="B62" s="29" t="s">
        <v>22</v>
      </c>
      <c r="C62" s="29"/>
      <c r="D62" s="30">
        <v>2050</v>
      </c>
      <c r="E62" s="139" t="s">
        <v>50</v>
      </c>
      <c r="F62" s="28"/>
      <c r="G62" s="36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>
        <v>100</v>
      </c>
      <c r="AC62" s="32">
        <v>100</v>
      </c>
      <c r="AD62" s="32">
        <v>50</v>
      </c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47"/>
    </row>
    <row r="63" spans="1:95">
      <c r="A63" s="28" t="s">
        <v>122</v>
      </c>
      <c r="B63" s="29" t="s">
        <v>121</v>
      </c>
      <c r="C63" s="29"/>
      <c r="D63" s="30">
        <v>30</v>
      </c>
      <c r="E63" s="139" t="s">
        <v>50</v>
      </c>
      <c r="F63" s="28"/>
      <c r="G63" s="36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2"/>
      <c r="CB63" s="32"/>
      <c r="CC63" s="32"/>
      <c r="CD63" s="32"/>
      <c r="CE63" s="32"/>
      <c r="CF63" s="32"/>
      <c r="CG63" s="32"/>
      <c r="CH63" s="32"/>
      <c r="CI63" s="32"/>
      <c r="CJ63" s="32"/>
      <c r="CK63" s="32"/>
      <c r="CL63" s="32"/>
      <c r="CM63" s="32"/>
      <c r="CN63" s="32"/>
      <c r="CO63" s="32"/>
      <c r="CP63" s="32"/>
      <c r="CQ63" s="47"/>
    </row>
    <row r="64" spans="1:95">
      <c r="A64" s="28" t="s">
        <v>122</v>
      </c>
      <c r="B64" s="29" t="s">
        <v>72</v>
      </c>
      <c r="C64" s="29"/>
      <c r="D64" s="30">
        <v>900</v>
      </c>
      <c r="E64" s="139" t="s">
        <v>50</v>
      </c>
      <c r="F64" s="28"/>
      <c r="G64" s="36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32"/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47"/>
    </row>
    <row r="65" spans="1:95">
      <c r="A65" s="28" t="s">
        <v>122</v>
      </c>
      <c r="B65" s="29" t="s">
        <v>61</v>
      </c>
      <c r="C65" s="29"/>
      <c r="D65" s="30">
        <v>1600</v>
      </c>
      <c r="E65" s="139" t="s">
        <v>50</v>
      </c>
      <c r="F65" s="28"/>
      <c r="G65" s="36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  <c r="CB65" s="32"/>
      <c r="CC65" s="32"/>
      <c r="CD65" s="32"/>
      <c r="CE65" s="32"/>
      <c r="CF65" s="32"/>
      <c r="CG65" s="32"/>
      <c r="CH65" s="32"/>
      <c r="CI65" s="32"/>
      <c r="CJ65" s="32"/>
      <c r="CK65" s="32"/>
      <c r="CL65" s="32"/>
      <c r="CM65" s="32"/>
      <c r="CN65" s="32"/>
      <c r="CO65" s="32"/>
      <c r="CP65" s="32"/>
      <c r="CQ65" s="47"/>
    </row>
    <row r="66" spans="1:95">
      <c r="A66" s="28" t="s">
        <v>122</v>
      </c>
      <c r="B66" s="29" t="s">
        <v>55</v>
      </c>
      <c r="C66" s="29"/>
      <c r="D66" s="30">
        <v>250</v>
      </c>
      <c r="E66" s="29" t="s">
        <v>115</v>
      </c>
      <c r="F66" s="28"/>
      <c r="G66" s="36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32"/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47"/>
    </row>
    <row r="67" spans="1:95">
      <c r="A67" s="28" t="s">
        <v>122</v>
      </c>
      <c r="B67" s="29" t="s">
        <v>56</v>
      </c>
      <c r="C67" s="29"/>
      <c r="D67" s="30">
        <v>250</v>
      </c>
      <c r="E67" s="29" t="s">
        <v>115</v>
      </c>
      <c r="F67" s="28"/>
      <c r="G67" s="36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  <c r="CB67" s="32"/>
      <c r="CC67" s="32"/>
      <c r="CD67" s="32"/>
      <c r="CE67" s="32"/>
      <c r="CF67" s="32"/>
      <c r="CG67" s="32"/>
      <c r="CH67" s="32"/>
      <c r="CI67" s="32"/>
      <c r="CJ67" s="32"/>
      <c r="CK67" s="32"/>
      <c r="CL67" s="32"/>
      <c r="CM67" s="32"/>
      <c r="CN67" s="32"/>
      <c r="CO67" s="32"/>
      <c r="CP67" s="32"/>
      <c r="CQ67" s="47"/>
    </row>
    <row r="68" spans="1:95">
      <c r="A68" s="28" t="s">
        <v>122</v>
      </c>
      <c r="B68" s="29" t="s">
        <v>77</v>
      </c>
      <c r="C68" s="29"/>
      <c r="D68" s="30">
        <v>50</v>
      </c>
      <c r="E68" s="29" t="s">
        <v>115</v>
      </c>
      <c r="F68" s="28"/>
      <c r="G68" s="36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32"/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47"/>
    </row>
    <row r="69" spans="1:95">
      <c r="A69" s="28" t="s">
        <v>122</v>
      </c>
      <c r="B69" s="29" t="s">
        <v>78</v>
      </c>
      <c r="C69" s="29"/>
      <c r="D69" s="30">
        <v>50</v>
      </c>
      <c r="E69" s="29" t="s">
        <v>115</v>
      </c>
      <c r="F69" s="28"/>
      <c r="G69" s="36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47"/>
    </row>
    <row r="70" spans="1:95">
      <c r="A70" s="52" t="s">
        <v>124</v>
      </c>
      <c r="B70" s="53" t="s">
        <v>84</v>
      </c>
      <c r="C70" s="53"/>
      <c r="D70" s="54">
        <v>400</v>
      </c>
      <c r="E70" s="140" t="s">
        <v>115</v>
      </c>
      <c r="F70" s="52"/>
      <c r="G70" s="134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159"/>
    </row>
    <row r="71" spans="1:95">
      <c r="A71" s="52" t="s">
        <v>124</v>
      </c>
      <c r="B71" s="53" t="s">
        <v>34</v>
      </c>
      <c r="C71" s="53"/>
      <c r="D71" s="54">
        <v>400</v>
      </c>
      <c r="E71" s="140" t="s">
        <v>115</v>
      </c>
      <c r="F71" s="52"/>
      <c r="G71" s="134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159"/>
    </row>
    <row r="72" spans="1:95">
      <c r="A72" s="52" t="s">
        <v>124</v>
      </c>
      <c r="B72" s="53" t="s">
        <v>36</v>
      </c>
      <c r="C72" s="53"/>
      <c r="D72" s="54">
        <v>745</v>
      </c>
      <c r="E72" s="140" t="s">
        <v>115</v>
      </c>
      <c r="F72" s="52"/>
      <c r="G72" s="134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>
        <v>145</v>
      </c>
      <c r="AE72" s="56"/>
      <c r="AF72" s="56"/>
      <c r="AG72" s="56"/>
      <c r="AH72" s="56"/>
      <c r="AI72" s="56"/>
      <c r="AJ72" s="56"/>
      <c r="AK72" s="56"/>
      <c r="AL72" s="56"/>
      <c r="AM72" s="56"/>
      <c r="AN72" s="56">
        <v>135</v>
      </c>
      <c r="AO72" s="56">
        <v>236</v>
      </c>
      <c r="AP72" s="56">
        <v>29</v>
      </c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159"/>
    </row>
    <row r="73" spans="1:95">
      <c r="A73" s="52" t="s">
        <v>124</v>
      </c>
      <c r="B73" s="53" t="s">
        <v>37</v>
      </c>
      <c r="C73" s="53"/>
      <c r="D73" s="54">
        <v>600</v>
      </c>
      <c r="E73" s="140" t="s">
        <v>115</v>
      </c>
      <c r="F73" s="52"/>
      <c r="G73" s="134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159"/>
    </row>
    <row r="74" spans="1:95">
      <c r="A74" s="56" t="s">
        <v>124</v>
      </c>
      <c r="B74" s="53" t="s">
        <v>116</v>
      </c>
      <c r="C74" s="53"/>
      <c r="D74" s="54">
        <v>19314</v>
      </c>
      <c r="E74" s="53" t="s">
        <v>115</v>
      </c>
      <c r="F74" s="56"/>
      <c r="G74" s="347">
        <v>117</v>
      </c>
      <c r="H74" s="56">
        <v>81</v>
      </c>
      <c r="I74" s="56"/>
      <c r="J74" s="56">
        <v>106</v>
      </c>
      <c r="K74" s="56">
        <v>61</v>
      </c>
      <c r="L74" s="56">
        <v>100</v>
      </c>
      <c r="M74" s="56">
        <v>65</v>
      </c>
      <c r="N74" s="56">
        <v>70</v>
      </c>
      <c r="O74" s="56">
        <v>106</v>
      </c>
      <c r="P74" s="56"/>
      <c r="Q74" s="56">
        <v>114</v>
      </c>
      <c r="R74" s="56">
        <v>28</v>
      </c>
      <c r="S74" s="56">
        <v>30</v>
      </c>
      <c r="T74" s="56">
        <v>40</v>
      </c>
      <c r="U74" s="56">
        <v>32</v>
      </c>
      <c r="V74" s="56"/>
      <c r="W74" s="56"/>
      <c r="X74" s="56"/>
      <c r="Y74" s="56"/>
      <c r="Z74" s="56">
        <v>200</v>
      </c>
      <c r="AA74" s="56">
        <v>69</v>
      </c>
      <c r="AB74" s="56">
        <v>100</v>
      </c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>
        <v>167</v>
      </c>
      <c r="AY74" s="56"/>
      <c r="AZ74" s="56"/>
      <c r="BA74" s="56">
        <f>200+90</f>
        <v>290</v>
      </c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159"/>
    </row>
    <row r="75" spans="1:95">
      <c r="A75" s="52" t="s">
        <v>124</v>
      </c>
      <c r="B75" s="53" t="s">
        <v>41</v>
      </c>
      <c r="C75" s="53"/>
      <c r="D75" s="54">
        <v>525</v>
      </c>
      <c r="E75" s="140" t="s">
        <v>115</v>
      </c>
      <c r="F75" s="52"/>
      <c r="G75" s="134"/>
      <c r="H75" s="56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159"/>
    </row>
    <row r="76" spans="1:95">
      <c r="A76" s="52" t="s">
        <v>124</v>
      </c>
      <c r="B76" s="53" t="s">
        <v>119</v>
      </c>
      <c r="C76" s="53"/>
      <c r="D76" s="54">
        <v>525</v>
      </c>
      <c r="E76" s="140" t="s">
        <v>115</v>
      </c>
      <c r="F76" s="52"/>
      <c r="G76" s="134"/>
      <c r="H76" s="56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159"/>
    </row>
    <row r="77" spans="1:95">
      <c r="A77" s="52" t="s">
        <v>124</v>
      </c>
      <c r="B77" s="53" t="s">
        <v>44</v>
      </c>
      <c r="C77" s="53"/>
      <c r="D77" s="54">
        <v>675</v>
      </c>
      <c r="E77" s="140" t="s">
        <v>115</v>
      </c>
      <c r="F77" s="52"/>
      <c r="G77" s="134"/>
      <c r="H77" s="56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159"/>
    </row>
    <row r="78" spans="1:95">
      <c r="A78" s="52" t="s">
        <v>124</v>
      </c>
      <c r="B78" s="53" t="s">
        <v>120</v>
      </c>
      <c r="C78" s="53"/>
      <c r="D78" s="54">
        <v>825</v>
      </c>
      <c r="E78" s="140" t="s">
        <v>115</v>
      </c>
      <c r="F78" s="52"/>
      <c r="G78" s="134"/>
      <c r="H78" s="56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159"/>
    </row>
    <row r="79" spans="1:95">
      <c r="A79" s="52" t="s">
        <v>124</v>
      </c>
      <c r="B79" s="53" t="s">
        <v>47</v>
      </c>
      <c r="C79" s="53"/>
      <c r="D79" s="54">
        <v>972</v>
      </c>
      <c r="E79" s="140" t="s">
        <v>115</v>
      </c>
      <c r="F79" s="52"/>
      <c r="G79" s="134"/>
      <c r="H79" s="56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>
        <v>31</v>
      </c>
      <c r="U79" s="52">
        <v>10</v>
      </c>
      <c r="V79" s="52">
        <v>13</v>
      </c>
      <c r="W79" s="52"/>
      <c r="X79" s="52"/>
      <c r="Y79" s="52"/>
      <c r="Z79" s="52"/>
      <c r="AA79" s="52"/>
      <c r="AB79" s="52"/>
      <c r="AC79" s="52">
        <v>40</v>
      </c>
      <c r="AD79" s="52"/>
      <c r="AE79" s="52"/>
      <c r="AF79" s="52">
        <v>35</v>
      </c>
      <c r="AG79" s="52">
        <v>35</v>
      </c>
      <c r="AH79" s="52"/>
      <c r="AI79" s="52">
        <v>40</v>
      </c>
      <c r="AJ79" s="52"/>
      <c r="AK79" s="52">
        <v>32</v>
      </c>
      <c r="AL79" s="52"/>
      <c r="AM79" s="52">
        <v>40</v>
      </c>
      <c r="AN79" s="52"/>
      <c r="AO79" s="52">
        <v>12</v>
      </c>
      <c r="AP79" s="52">
        <v>32</v>
      </c>
      <c r="AQ79" s="52"/>
      <c r="AR79" s="52"/>
      <c r="AS79" s="52"/>
      <c r="AT79" s="52"/>
      <c r="AU79" s="52"/>
      <c r="AV79" s="52"/>
      <c r="AW79" s="52"/>
      <c r="AX79" s="52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159"/>
    </row>
    <row r="80" spans="1:95">
      <c r="A80" s="52" t="s">
        <v>124</v>
      </c>
      <c r="B80" s="53" t="s">
        <v>49</v>
      </c>
      <c r="C80" s="53"/>
      <c r="D80" s="54">
        <v>1120</v>
      </c>
      <c r="E80" s="140" t="s">
        <v>50</v>
      </c>
      <c r="F80" s="52"/>
      <c r="G80" s="134"/>
      <c r="H80" s="56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>
        <v>20</v>
      </c>
      <c r="T80" s="52"/>
      <c r="U80" s="52"/>
      <c r="V80" s="52"/>
      <c r="W80" s="52"/>
      <c r="X80" s="52"/>
      <c r="Y80" s="52"/>
      <c r="Z80" s="52"/>
      <c r="AA80" s="52"/>
      <c r="AB80" s="52">
        <v>19</v>
      </c>
      <c r="AC80" s="52"/>
      <c r="AD80" s="52"/>
      <c r="AE80" s="52"/>
      <c r="AF80" s="52">
        <v>50</v>
      </c>
      <c r="AG80" s="52">
        <v>21</v>
      </c>
      <c r="AH80" s="52"/>
      <c r="AI80" s="52"/>
      <c r="AJ80" s="52">
        <v>82</v>
      </c>
      <c r="AK80" s="52"/>
      <c r="AL80" s="52"/>
      <c r="AM80" s="52">
        <v>51</v>
      </c>
      <c r="AN80" s="52"/>
      <c r="AO80" s="52"/>
      <c r="AP80" s="52"/>
      <c r="AQ80" s="52"/>
      <c r="AR80" s="52"/>
      <c r="AS80" s="52"/>
      <c r="AT80" s="52"/>
      <c r="AU80" s="52">
        <v>57</v>
      </c>
      <c r="AV80" s="52"/>
      <c r="AW80" s="52"/>
      <c r="AX80" s="52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159"/>
    </row>
    <row r="81" spans="1:95" s="158" customFormat="1">
      <c r="A81" s="52" t="s">
        <v>124</v>
      </c>
      <c r="B81" s="140" t="s">
        <v>51</v>
      </c>
      <c r="C81" s="54"/>
      <c r="D81" s="54">
        <v>2442</v>
      </c>
      <c r="E81" s="140" t="s">
        <v>50</v>
      </c>
      <c r="F81" s="52"/>
      <c r="G81" s="134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>
        <v>18</v>
      </c>
      <c r="S81" s="52">
        <v>29</v>
      </c>
      <c r="T81" s="52"/>
      <c r="U81" s="52"/>
      <c r="V81" s="52">
        <v>95</v>
      </c>
      <c r="W81" s="52"/>
      <c r="X81" s="52"/>
      <c r="Y81" s="52"/>
      <c r="Z81" s="52"/>
      <c r="AA81" s="52"/>
      <c r="AB81" s="52"/>
      <c r="AC81" s="52"/>
      <c r="AD81" s="52">
        <v>41</v>
      </c>
      <c r="AE81" s="52"/>
      <c r="AF81" s="52">
        <v>53</v>
      </c>
      <c r="AG81" s="52">
        <v>3</v>
      </c>
      <c r="AH81" s="52">
        <v>57</v>
      </c>
      <c r="AI81" s="52">
        <v>62</v>
      </c>
      <c r="AJ81" s="52"/>
      <c r="AK81" s="52"/>
      <c r="AL81" s="52"/>
      <c r="AM81" s="52"/>
      <c r="AN81" s="52">
        <v>63</v>
      </c>
      <c r="AO81" s="52">
        <v>66</v>
      </c>
      <c r="AP81" s="52"/>
      <c r="AQ81" s="52"/>
      <c r="AR81" s="52"/>
      <c r="AS81" s="52"/>
      <c r="AT81" s="52"/>
      <c r="AU81" s="52"/>
      <c r="AV81" s="52">
        <v>77</v>
      </c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146"/>
    </row>
    <row r="82" spans="1:95">
      <c r="A82" s="52" t="s">
        <v>124</v>
      </c>
      <c r="B82" s="53" t="s">
        <v>118</v>
      </c>
      <c r="C82" s="53"/>
      <c r="D82" s="54">
        <v>2075</v>
      </c>
      <c r="E82" s="140" t="s">
        <v>50</v>
      </c>
      <c r="F82" s="52"/>
      <c r="G82" s="134"/>
      <c r="H82" s="56"/>
      <c r="I82" s="52"/>
      <c r="J82" s="52"/>
      <c r="K82" s="52"/>
      <c r="L82" s="52"/>
      <c r="M82" s="52"/>
      <c r="N82" s="52"/>
      <c r="O82" s="52"/>
      <c r="P82" s="52"/>
      <c r="Q82" s="52"/>
      <c r="R82" s="52">
        <v>6</v>
      </c>
      <c r="S82" s="52"/>
      <c r="T82" s="52"/>
      <c r="U82" s="52"/>
      <c r="V82" s="52"/>
      <c r="W82" s="52"/>
      <c r="X82" s="52"/>
      <c r="Y82" s="52">
        <v>48</v>
      </c>
      <c r="Z82" s="52">
        <v>23</v>
      </c>
      <c r="AA82" s="52">
        <v>52</v>
      </c>
      <c r="AB82" s="52">
        <v>62</v>
      </c>
      <c r="AC82" s="52">
        <v>48</v>
      </c>
      <c r="AD82" s="52">
        <v>15</v>
      </c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159"/>
    </row>
    <row r="83" spans="1:95">
      <c r="A83" s="52" t="s">
        <v>124</v>
      </c>
      <c r="B83" s="53" t="s">
        <v>29</v>
      </c>
      <c r="C83" s="53"/>
      <c r="D83" s="54">
        <v>1325</v>
      </c>
      <c r="E83" s="140" t="s">
        <v>50</v>
      </c>
      <c r="F83" s="52"/>
      <c r="G83" s="134"/>
      <c r="H83" s="56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>
        <v>70</v>
      </c>
      <c r="AA83" s="52">
        <v>8</v>
      </c>
      <c r="AB83" s="52">
        <v>10</v>
      </c>
      <c r="AC83" s="52"/>
      <c r="AD83" s="52"/>
      <c r="AE83" s="52"/>
      <c r="AF83" s="52"/>
      <c r="AG83" s="52"/>
      <c r="AH83" s="52">
        <v>10</v>
      </c>
      <c r="AI83" s="52"/>
      <c r="AJ83" s="52"/>
      <c r="AK83" s="52"/>
      <c r="AL83" s="52"/>
      <c r="AM83" s="52"/>
      <c r="AN83" s="52">
        <v>85</v>
      </c>
      <c r="AO83" s="52"/>
      <c r="AP83" s="52"/>
      <c r="AQ83" s="52"/>
      <c r="AR83" s="52"/>
      <c r="AS83" s="52"/>
      <c r="AT83" s="52">
        <v>40</v>
      </c>
      <c r="AU83" s="52"/>
      <c r="AV83" s="52"/>
      <c r="AW83" s="52"/>
      <c r="AX83" s="52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159"/>
    </row>
    <row r="84" spans="1:95">
      <c r="A84" s="52" t="s">
        <v>124</v>
      </c>
      <c r="B84" s="53" t="s">
        <v>22</v>
      </c>
      <c r="C84" s="53"/>
      <c r="D84" s="54">
        <v>2050</v>
      </c>
      <c r="E84" s="140" t="s">
        <v>50</v>
      </c>
      <c r="F84" s="52"/>
      <c r="G84" s="134"/>
      <c r="H84" s="56"/>
      <c r="I84" s="52"/>
      <c r="J84" s="52"/>
      <c r="K84" s="52"/>
      <c r="L84" s="52">
        <v>70</v>
      </c>
      <c r="M84" s="52"/>
      <c r="N84" s="52"/>
      <c r="O84" s="52"/>
      <c r="P84" s="52"/>
      <c r="Q84" s="52"/>
      <c r="R84" s="52">
        <v>20</v>
      </c>
      <c r="S84" s="52"/>
      <c r="T84" s="52"/>
      <c r="U84" s="52"/>
      <c r="V84" s="52">
        <v>35</v>
      </c>
      <c r="W84" s="52"/>
      <c r="X84" s="52"/>
      <c r="Y84" s="52">
        <v>40</v>
      </c>
      <c r="Z84" s="52">
        <v>11</v>
      </c>
      <c r="AA84" s="52"/>
      <c r="AB84" s="52"/>
      <c r="AC84" s="52"/>
      <c r="AD84" s="52"/>
      <c r="AE84" s="52"/>
      <c r="AF84" s="52"/>
      <c r="AG84" s="52"/>
      <c r="AH84" s="52">
        <v>9</v>
      </c>
      <c r="AI84" s="52"/>
      <c r="AJ84" s="52"/>
      <c r="AK84" s="52"/>
      <c r="AL84" s="52"/>
      <c r="AM84" s="52"/>
      <c r="AN84" s="52">
        <v>57</v>
      </c>
      <c r="AO84" s="52"/>
      <c r="AP84" s="52"/>
      <c r="AQ84" s="52"/>
      <c r="AR84" s="52"/>
      <c r="AS84" s="52"/>
      <c r="AT84" s="52">
        <v>60</v>
      </c>
      <c r="AU84" s="52"/>
      <c r="AV84" s="52">
        <v>98</v>
      </c>
      <c r="AW84" s="52"/>
      <c r="AX84" s="52"/>
      <c r="AY84" s="56"/>
      <c r="AZ84" s="56"/>
      <c r="BA84" s="56">
        <v>105</v>
      </c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159"/>
    </row>
    <row r="85" spans="1:95">
      <c r="A85" s="52" t="s">
        <v>124</v>
      </c>
      <c r="B85" s="53" t="s">
        <v>121</v>
      </c>
      <c r="C85" s="53"/>
      <c r="D85" s="54">
        <v>30</v>
      </c>
      <c r="E85" s="140" t="s">
        <v>50</v>
      </c>
      <c r="F85" s="52"/>
      <c r="G85" s="134"/>
      <c r="H85" s="56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159"/>
    </row>
    <row r="86" spans="1:95">
      <c r="A86" s="52" t="s">
        <v>124</v>
      </c>
      <c r="B86" s="53" t="s">
        <v>72</v>
      </c>
      <c r="C86" s="53"/>
      <c r="D86" s="54">
        <v>900</v>
      </c>
      <c r="E86" s="140" t="s">
        <v>50</v>
      </c>
      <c r="F86" s="52"/>
      <c r="G86" s="134"/>
      <c r="H86" s="56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159"/>
    </row>
    <row r="87" spans="1:95">
      <c r="A87" s="52" t="s">
        <v>124</v>
      </c>
      <c r="B87" s="53" t="s">
        <v>61</v>
      </c>
      <c r="C87" s="53"/>
      <c r="D87" s="54">
        <v>1600</v>
      </c>
      <c r="E87" s="140" t="s">
        <v>50</v>
      </c>
      <c r="F87" s="304"/>
      <c r="G87" s="305"/>
      <c r="H87" s="306"/>
      <c r="I87" s="304"/>
      <c r="J87" s="304"/>
      <c r="K87" s="304"/>
      <c r="L87" s="304"/>
      <c r="M87" s="304"/>
      <c r="N87" s="304"/>
      <c r="O87" s="304"/>
      <c r="P87" s="304"/>
      <c r="Q87" s="304"/>
      <c r="R87" s="304"/>
      <c r="S87" s="304"/>
      <c r="T87" s="304"/>
      <c r="U87" s="304"/>
      <c r="V87" s="304"/>
      <c r="W87" s="304"/>
      <c r="X87" s="304"/>
      <c r="Y87" s="304"/>
      <c r="Z87" s="304"/>
      <c r="AA87" s="304"/>
      <c r="AB87" s="304"/>
      <c r="AC87" s="304"/>
      <c r="AD87" s="304"/>
      <c r="AE87" s="304"/>
      <c r="AF87" s="304"/>
      <c r="AG87" s="304"/>
      <c r="AH87" s="304"/>
      <c r="AI87" s="304"/>
      <c r="AJ87" s="304"/>
      <c r="AK87" s="304"/>
      <c r="AL87" s="304"/>
      <c r="AM87" s="304"/>
      <c r="AN87" s="304"/>
      <c r="AO87" s="304"/>
      <c r="AP87" s="304"/>
      <c r="AQ87" s="304"/>
      <c r="AR87" s="304"/>
      <c r="AS87" s="304"/>
      <c r="AT87" s="304"/>
      <c r="AU87" s="304"/>
      <c r="AV87" s="304"/>
      <c r="AW87" s="304"/>
      <c r="AX87" s="304"/>
      <c r="AY87" s="306"/>
      <c r="AZ87" s="306"/>
      <c r="BA87" s="306">
        <v>65</v>
      </c>
      <c r="BB87" s="306"/>
      <c r="BC87" s="306"/>
      <c r="BD87" s="306"/>
      <c r="BE87" s="306"/>
      <c r="BF87" s="306"/>
      <c r="BG87" s="306"/>
      <c r="BH87" s="306"/>
      <c r="BI87" s="306"/>
      <c r="BJ87" s="306"/>
      <c r="BK87" s="306"/>
      <c r="BL87" s="306"/>
      <c r="BM87" s="304"/>
      <c r="BN87" s="304"/>
      <c r="BO87" s="304"/>
      <c r="BP87" s="304"/>
      <c r="BQ87" s="304"/>
      <c r="BR87" s="304"/>
      <c r="BS87" s="304"/>
      <c r="BT87" s="304"/>
      <c r="BU87" s="304"/>
      <c r="BV87" s="304"/>
      <c r="BW87" s="304"/>
      <c r="BX87" s="304"/>
      <c r="BY87" s="304"/>
      <c r="BZ87" s="304"/>
      <c r="CA87" s="306"/>
      <c r="CB87" s="306"/>
      <c r="CC87" s="306"/>
      <c r="CD87" s="306"/>
      <c r="CE87" s="306"/>
      <c r="CF87" s="306"/>
      <c r="CG87" s="306"/>
      <c r="CH87" s="306"/>
      <c r="CI87" s="306"/>
      <c r="CJ87" s="306"/>
      <c r="CK87" s="306"/>
      <c r="CL87" s="306"/>
      <c r="CM87" s="306"/>
      <c r="CN87" s="306"/>
      <c r="CO87" s="306"/>
      <c r="CP87" s="306"/>
      <c r="CQ87" s="307"/>
    </row>
    <row r="88" spans="1:95">
      <c r="A88" s="52" t="s">
        <v>124</v>
      </c>
      <c r="B88" s="53" t="s">
        <v>55</v>
      </c>
      <c r="C88" s="52"/>
      <c r="D88" s="54">
        <v>250</v>
      </c>
      <c r="E88" s="146" t="s">
        <v>115</v>
      </c>
      <c r="F88" s="52"/>
      <c r="G88" s="52"/>
      <c r="H88" s="56"/>
      <c r="I88" s="52"/>
      <c r="J88" s="52">
        <v>18</v>
      </c>
      <c r="K88" s="52"/>
      <c r="L88" s="52">
        <v>12</v>
      </c>
      <c r="M88" s="52"/>
      <c r="N88" s="52"/>
      <c r="O88" s="52"/>
      <c r="P88" s="52"/>
      <c r="Q88" s="52"/>
      <c r="R88" s="52"/>
      <c r="S88" s="52"/>
      <c r="T88" s="52"/>
      <c r="U88" s="52"/>
      <c r="V88" s="52">
        <v>6</v>
      </c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159"/>
      <c r="BJ88" s="56"/>
      <c r="BK88" s="56"/>
      <c r="BL88" s="56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</row>
    <row r="89" spans="1:95">
      <c r="A89" s="52" t="s">
        <v>124</v>
      </c>
      <c r="B89" s="53" t="s">
        <v>56</v>
      </c>
      <c r="C89" s="52"/>
      <c r="D89" s="54">
        <v>250</v>
      </c>
      <c r="E89" s="146" t="s">
        <v>115</v>
      </c>
      <c r="F89" s="52"/>
      <c r="G89" s="52"/>
      <c r="H89" s="56"/>
      <c r="I89" s="52"/>
      <c r="J89" s="52"/>
      <c r="K89" s="52">
        <v>26</v>
      </c>
      <c r="L89" s="52">
        <v>4</v>
      </c>
      <c r="M89" s="52"/>
      <c r="N89" s="52"/>
      <c r="O89" s="52"/>
      <c r="P89" s="52"/>
      <c r="Q89" s="52"/>
      <c r="R89" s="52"/>
      <c r="S89" s="52"/>
      <c r="T89" s="52"/>
      <c r="U89" s="52"/>
      <c r="V89" s="52">
        <v>10</v>
      </c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159"/>
      <c r="BJ89" s="56"/>
      <c r="BK89" s="56"/>
      <c r="BL89" s="56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</row>
    <row r="90" spans="1:95">
      <c r="A90" s="52" t="s">
        <v>124</v>
      </c>
      <c r="B90" s="53" t="s">
        <v>77</v>
      </c>
      <c r="C90" s="52"/>
      <c r="D90" s="54">
        <v>50</v>
      </c>
      <c r="E90" s="146" t="s">
        <v>115</v>
      </c>
      <c r="F90" s="52"/>
      <c r="G90" s="52"/>
      <c r="H90" s="56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159"/>
      <c r="BJ90" s="56"/>
      <c r="BK90" s="56"/>
      <c r="BL90" s="56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</row>
    <row r="91" spans="1:95">
      <c r="A91" s="52" t="s">
        <v>124</v>
      </c>
      <c r="B91" s="53" t="s">
        <v>78</v>
      </c>
      <c r="C91" s="52"/>
      <c r="D91" s="54">
        <v>50</v>
      </c>
      <c r="E91" s="146" t="s">
        <v>115</v>
      </c>
      <c r="F91" s="52"/>
      <c r="G91" s="52"/>
      <c r="H91" s="56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159"/>
      <c r="BJ91" s="56"/>
      <c r="BK91" s="56"/>
      <c r="BL91" s="56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</row>
  </sheetData>
  <autoFilter ref="A25:FY25" xr:uid="{3D408B65-2FE4-4490-934A-6DB8D3B6EF8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4D5F-FACF-4CB5-8887-CFEE0762150B}">
  <dimension ref="A1:AH79"/>
  <sheetViews>
    <sheetView tabSelected="1" workbookViewId="0">
      <selection activeCell="G42" sqref="G42"/>
    </sheetView>
  </sheetViews>
  <sheetFormatPr defaultColWidth="8.85546875" defaultRowHeight="15"/>
  <cols>
    <col min="1" max="1" width="8.85546875" style="3"/>
    <col min="2" max="2" width="17.85546875" customWidth="1"/>
    <col min="3" max="3" width="12.42578125" customWidth="1"/>
    <col min="4" max="4" width="12.42578125" style="1" customWidth="1"/>
    <col min="5" max="5" width="11" style="1" customWidth="1"/>
    <col min="6" max="6" width="10.42578125" style="1" customWidth="1"/>
    <col min="7" max="7" width="9.85546875" customWidth="1"/>
    <col min="8" max="8" width="17.42578125" hidden="1" customWidth="1"/>
    <col min="9" max="9" width="17.140625" hidden="1" customWidth="1"/>
    <col min="10" max="10" width="16.7109375" hidden="1" customWidth="1"/>
    <col min="11" max="11" width="15.28515625" hidden="1" customWidth="1"/>
    <col min="12" max="12" width="17.140625" hidden="1" customWidth="1"/>
    <col min="13" max="13" width="16.140625" hidden="1" customWidth="1"/>
    <col min="14" max="14" width="27.28515625" hidden="1" customWidth="1"/>
    <col min="15" max="15" width="29.42578125" hidden="1" customWidth="1"/>
    <col min="16" max="16" width="20.42578125" hidden="1" customWidth="1"/>
    <col min="17" max="17" width="24.42578125" hidden="1" customWidth="1"/>
    <col min="18" max="18" width="13.5703125" hidden="1" customWidth="1"/>
    <col min="19" max="19" width="21" hidden="1" customWidth="1"/>
    <col min="20" max="20" width="35.7109375" hidden="1" customWidth="1"/>
    <col min="21" max="21" width="30.85546875" hidden="1" customWidth="1"/>
    <col min="22" max="22" width="32.5703125" hidden="1" customWidth="1"/>
    <col min="23" max="23" width="29" hidden="1" customWidth="1"/>
    <col min="24" max="24" width="32.85546875" customWidth="1"/>
    <col min="25" max="26" width="34.42578125" customWidth="1"/>
    <col min="32" max="32" width="8.85546875" style="1"/>
    <col min="33" max="33" width="12.140625" style="1" customWidth="1"/>
  </cols>
  <sheetData>
    <row r="1" spans="1:33" ht="22.5" customHeight="1">
      <c r="A1" s="3" t="s">
        <v>169</v>
      </c>
      <c r="B1" s="239" t="s">
        <v>126</v>
      </c>
      <c r="C1" s="239" t="s">
        <v>4</v>
      </c>
      <c r="D1" s="92" t="s">
        <v>30</v>
      </c>
      <c r="E1" s="92" t="s">
        <v>148</v>
      </c>
      <c r="F1" s="92" t="s">
        <v>114</v>
      </c>
      <c r="G1" s="92" t="s">
        <v>139</v>
      </c>
      <c r="H1" s="291">
        <v>45902</v>
      </c>
      <c r="I1" s="142">
        <v>45909</v>
      </c>
      <c r="J1" s="142">
        <f>I1+7</f>
        <v>45916</v>
      </c>
      <c r="K1" s="142">
        <f>J1+7</f>
        <v>45923</v>
      </c>
      <c r="L1" s="143">
        <v>45930</v>
      </c>
      <c r="M1" s="143">
        <v>45937</v>
      </c>
      <c r="N1" s="175">
        <v>45944</v>
      </c>
      <c r="O1" s="143">
        <v>45958</v>
      </c>
      <c r="P1" s="175">
        <f>O1+7</f>
        <v>45965</v>
      </c>
      <c r="Q1" s="143">
        <f>P1+7+7</f>
        <v>45979</v>
      </c>
      <c r="R1" s="143">
        <f>Q1+7</f>
        <v>45986</v>
      </c>
      <c r="S1" s="275">
        <f>R1+7</f>
        <v>45993</v>
      </c>
      <c r="T1" s="275">
        <f>S1+7</f>
        <v>46000</v>
      </c>
      <c r="U1" s="282">
        <f>T1+8</f>
        <v>46008</v>
      </c>
      <c r="V1" s="282">
        <f>U1+6</f>
        <v>46014</v>
      </c>
      <c r="W1" s="341">
        <f>V1+7</f>
        <v>46021</v>
      </c>
      <c r="X1" s="341">
        <f>W1+20</f>
        <v>46041</v>
      </c>
      <c r="Y1" s="341">
        <v>46055</v>
      </c>
      <c r="Z1" s="150">
        <v>46062</v>
      </c>
    </row>
    <row r="2" spans="1:33">
      <c r="A2" s="19">
        <v>1</v>
      </c>
      <c r="B2" s="91" t="s">
        <v>84</v>
      </c>
      <c r="C2" s="90" t="s">
        <v>33</v>
      </c>
      <c r="D2" s="94">
        <f t="shared" ref="D2:D21" si="0">SUM(E2:G2)</f>
        <v>0</v>
      </c>
      <c r="E2" s="94">
        <v>0</v>
      </c>
      <c r="F2" s="93">
        <v>0</v>
      </c>
      <c r="G2" s="94">
        <v>0</v>
      </c>
      <c r="H2" s="172" t="s">
        <v>170</v>
      </c>
      <c r="I2" s="3" t="s">
        <v>170</v>
      </c>
      <c r="J2" s="3" t="s">
        <v>170</v>
      </c>
      <c r="K2" s="3" t="s">
        <v>170</v>
      </c>
      <c r="L2" s="3" t="s">
        <v>171</v>
      </c>
      <c r="M2" s="3" t="s">
        <v>171</v>
      </c>
      <c r="N2" s="40" t="s">
        <v>172</v>
      </c>
      <c r="O2" s="3" t="s">
        <v>173</v>
      </c>
      <c r="P2" s="40" t="s">
        <v>174</v>
      </c>
      <c r="Q2" s="3" t="s">
        <v>175</v>
      </c>
      <c r="R2" s="40" t="s">
        <v>176</v>
      </c>
      <c r="S2" s="3" t="s">
        <v>176</v>
      </c>
      <c r="T2" s="3" t="s">
        <v>176</v>
      </c>
      <c r="U2" s="40" t="s">
        <v>176</v>
      </c>
      <c r="V2" s="3" t="s">
        <v>176</v>
      </c>
      <c r="W2" s="40"/>
      <c r="X2" s="3" t="s">
        <v>177</v>
      </c>
      <c r="Y2" s="40" t="s">
        <v>178</v>
      </c>
      <c r="Z2" s="3"/>
    </row>
    <row r="3" spans="1:33">
      <c r="A3" s="19">
        <v>2</v>
      </c>
      <c r="B3" s="91" t="s">
        <v>34</v>
      </c>
      <c r="C3" s="90" t="s">
        <v>33</v>
      </c>
      <c r="D3" s="94">
        <f t="shared" si="0"/>
        <v>0</v>
      </c>
      <c r="E3" s="94">
        <v>0</v>
      </c>
      <c r="F3" s="93">
        <v>0</v>
      </c>
      <c r="G3" s="94">
        <v>0</v>
      </c>
      <c r="H3" s="172" t="s">
        <v>170</v>
      </c>
      <c r="I3" s="3" t="s">
        <v>170</v>
      </c>
      <c r="J3" s="3" t="s">
        <v>170</v>
      </c>
      <c r="K3" s="3" t="s">
        <v>170</v>
      </c>
      <c r="L3" s="3" t="s">
        <v>171</v>
      </c>
      <c r="M3" s="3" t="s">
        <v>171</v>
      </c>
      <c r="N3" s="40" t="s">
        <v>172</v>
      </c>
      <c r="O3" s="3" t="s">
        <v>173</v>
      </c>
      <c r="P3" s="40" t="s">
        <v>174</v>
      </c>
      <c r="Q3" s="3" t="s">
        <v>175</v>
      </c>
      <c r="R3" s="40" t="s">
        <v>176</v>
      </c>
      <c r="S3" s="3" t="s">
        <v>176</v>
      </c>
      <c r="T3" s="3" t="s">
        <v>176</v>
      </c>
      <c r="U3" s="40" t="s">
        <v>176</v>
      </c>
      <c r="V3" s="3" t="s">
        <v>176</v>
      </c>
      <c r="W3" s="40"/>
      <c r="X3" s="3" t="s">
        <v>177</v>
      </c>
      <c r="Y3" s="40" t="s">
        <v>178</v>
      </c>
      <c r="Z3" s="3"/>
    </row>
    <row r="4" spans="1:33">
      <c r="A4" s="19">
        <v>3</v>
      </c>
      <c r="B4" s="105" t="s">
        <v>36</v>
      </c>
      <c r="C4" s="90" t="s">
        <v>33</v>
      </c>
      <c r="D4" s="94">
        <f t="shared" si="0"/>
        <v>600</v>
      </c>
      <c r="E4" s="94">
        <v>200</v>
      </c>
      <c r="F4" s="94">
        <v>200</v>
      </c>
      <c r="G4" s="94">
        <v>200</v>
      </c>
      <c r="H4" s="172" t="s">
        <v>179</v>
      </c>
      <c r="I4" s="3" t="s">
        <v>179</v>
      </c>
      <c r="J4" s="3" t="s">
        <v>179</v>
      </c>
      <c r="K4" s="3" t="s">
        <v>180</v>
      </c>
      <c r="L4" s="3" t="s">
        <v>181</v>
      </c>
      <c r="M4" s="3" t="s">
        <v>182</v>
      </c>
      <c r="N4" s="40" t="s">
        <v>183</v>
      </c>
      <c r="O4" s="3" t="s">
        <v>184</v>
      </c>
      <c r="P4" s="40" t="s">
        <v>185</v>
      </c>
      <c r="Q4" s="3" t="s">
        <v>186</v>
      </c>
      <c r="R4" s="40" t="s">
        <v>182</v>
      </c>
      <c r="S4" s="3" t="s">
        <v>182</v>
      </c>
      <c r="T4" s="69" t="s">
        <v>182</v>
      </c>
      <c r="U4" s="111" t="s">
        <v>182</v>
      </c>
      <c r="V4" s="3" t="s">
        <v>187</v>
      </c>
      <c r="W4" s="40" t="s">
        <v>188</v>
      </c>
      <c r="X4" s="3" t="s">
        <v>189</v>
      </c>
      <c r="Y4" s="40" t="s">
        <v>190</v>
      </c>
      <c r="Z4" s="3"/>
    </row>
    <row r="5" spans="1:33">
      <c r="A5" s="19">
        <v>4</v>
      </c>
      <c r="B5" s="105" t="s">
        <v>37</v>
      </c>
      <c r="C5" s="90" t="s">
        <v>33</v>
      </c>
      <c r="D5" s="94">
        <f t="shared" si="0"/>
        <v>550</v>
      </c>
      <c r="E5" s="94">
        <v>200</v>
      </c>
      <c r="F5" s="94">
        <v>200</v>
      </c>
      <c r="G5" s="94">
        <v>150</v>
      </c>
      <c r="H5" s="172" t="s">
        <v>179</v>
      </c>
      <c r="I5" s="3" t="s">
        <v>179</v>
      </c>
      <c r="J5" s="3" t="s">
        <v>179</v>
      </c>
      <c r="K5" s="3" t="s">
        <v>180</v>
      </c>
      <c r="L5" s="3" t="s">
        <v>181</v>
      </c>
      <c r="M5" s="3" t="s">
        <v>182</v>
      </c>
      <c r="N5" s="40" t="s">
        <v>183</v>
      </c>
      <c r="O5" s="3" t="s">
        <v>184</v>
      </c>
      <c r="P5" s="40" t="s">
        <v>185</v>
      </c>
      <c r="Q5" s="3" t="s">
        <v>191</v>
      </c>
      <c r="R5" s="40" t="s">
        <v>182</v>
      </c>
      <c r="S5" s="40" t="s">
        <v>182</v>
      </c>
      <c r="T5" s="3"/>
      <c r="U5" s="111" t="s">
        <v>182</v>
      </c>
      <c r="V5" s="3" t="s">
        <v>187</v>
      </c>
      <c r="W5" s="40" t="s">
        <v>192</v>
      </c>
      <c r="X5" s="3" t="s">
        <v>190</v>
      </c>
      <c r="Y5" s="40" t="s">
        <v>190</v>
      </c>
      <c r="Z5" s="3"/>
    </row>
    <row r="6" spans="1:33" s="298" customFormat="1">
      <c r="A6" s="271">
        <v>5</v>
      </c>
      <c r="B6" s="294" t="s">
        <v>39</v>
      </c>
      <c r="C6" s="295" t="s">
        <v>33</v>
      </c>
      <c r="D6" s="296">
        <f t="shared" si="0"/>
        <v>4000</v>
      </c>
      <c r="E6" s="94">
        <v>0</v>
      </c>
      <c r="F6" s="94">
        <f>80*25</f>
        <v>2000</v>
      </c>
      <c r="G6" s="94">
        <v>2000</v>
      </c>
      <c r="H6" s="297" t="s">
        <v>193</v>
      </c>
      <c r="I6" s="151" t="s">
        <v>194</v>
      </c>
      <c r="J6" s="151" t="s">
        <v>195</v>
      </c>
      <c r="K6" s="151" t="s">
        <v>196</v>
      </c>
      <c r="L6" s="151" t="s">
        <v>197</v>
      </c>
      <c r="M6" s="151" t="s">
        <v>198</v>
      </c>
      <c r="N6" s="176" t="s">
        <v>199</v>
      </c>
      <c r="O6" s="151" t="s">
        <v>200</v>
      </c>
      <c r="P6" s="176" t="s">
        <v>201</v>
      </c>
      <c r="Q6" s="151" t="s">
        <v>202</v>
      </c>
      <c r="R6" s="176"/>
      <c r="S6" s="176" t="s">
        <v>203</v>
      </c>
      <c r="T6" s="151" t="s">
        <v>203</v>
      </c>
      <c r="U6" s="298" t="s">
        <v>204</v>
      </c>
      <c r="V6" s="151"/>
      <c r="W6" s="176" t="s">
        <v>205</v>
      </c>
      <c r="X6" s="151" t="s">
        <v>206</v>
      </c>
      <c r="Y6" s="40" t="s">
        <v>190</v>
      </c>
      <c r="Z6" s="3"/>
      <c r="AF6" s="156"/>
      <c r="AG6" s="156"/>
    </row>
    <row r="7" spans="1:33">
      <c r="A7" s="19">
        <v>6</v>
      </c>
      <c r="B7" s="91" t="s">
        <v>41</v>
      </c>
      <c r="C7" s="90" t="s">
        <v>33</v>
      </c>
      <c r="D7" s="94">
        <f t="shared" si="0"/>
        <v>0</v>
      </c>
      <c r="E7" s="94">
        <v>0</v>
      </c>
      <c r="F7" s="94">
        <v>0</v>
      </c>
      <c r="G7" s="94">
        <v>0</v>
      </c>
      <c r="H7" s="172" t="s">
        <v>170</v>
      </c>
      <c r="I7" s="3" t="s">
        <v>170</v>
      </c>
      <c r="J7" s="3" t="s">
        <v>170</v>
      </c>
      <c r="K7" s="3" t="s">
        <v>170</v>
      </c>
      <c r="L7" s="3" t="s">
        <v>171</v>
      </c>
      <c r="M7" s="3" t="s">
        <v>207</v>
      </c>
      <c r="N7" s="40" t="s">
        <v>208</v>
      </c>
      <c r="O7" s="3" t="s">
        <v>173</v>
      </c>
      <c r="P7" s="40" t="s">
        <v>209</v>
      </c>
      <c r="Q7" s="3" t="s">
        <v>210</v>
      </c>
      <c r="R7" s="40" t="s">
        <v>182</v>
      </c>
      <c r="S7" s="40" t="s">
        <v>182</v>
      </c>
      <c r="T7" s="3" t="s">
        <v>176</v>
      </c>
      <c r="U7" s="40" t="s">
        <v>176</v>
      </c>
      <c r="V7" s="3" t="s">
        <v>176</v>
      </c>
      <c r="W7" s="40"/>
      <c r="X7" s="3" t="s">
        <v>211</v>
      </c>
      <c r="Y7" s="40" t="s">
        <v>212</v>
      </c>
      <c r="Z7" s="3"/>
    </row>
    <row r="8" spans="1:33">
      <c r="A8" s="19">
        <v>7</v>
      </c>
      <c r="B8" s="91" t="s">
        <v>42</v>
      </c>
      <c r="C8" s="90" t="s">
        <v>33</v>
      </c>
      <c r="D8" s="94">
        <f t="shared" si="0"/>
        <v>0</v>
      </c>
      <c r="E8" s="94">
        <v>0</v>
      </c>
      <c r="F8" s="94">
        <v>0</v>
      </c>
      <c r="G8" s="94">
        <v>0</v>
      </c>
      <c r="H8" s="172" t="s">
        <v>170</v>
      </c>
      <c r="I8" s="3" t="s">
        <v>170</v>
      </c>
      <c r="J8" s="3" t="s">
        <v>170</v>
      </c>
      <c r="K8" s="3" t="s">
        <v>170</v>
      </c>
      <c r="L8" s="3" t="s">
        <v>171</v>
      </c>
      <c r="M8" s="3" t="s">
        <v>207</v>
      </c>
      <c r="N8" s="40" t="s">
        <v>208</v>
      </c>
      <c r="O8" s="3" t="s">
        <v>173</v>
      </c>
      <c r="P8" s="40" t="s">
        <v>209</v>
      </c>
      <c r="Q8" s="3" t="s">
        <v>210</v>
      </c>
      <c r="R8" s="40" t="s">
        <v>182</v>
      </c>
      <c r="S8" s="40" t="s">
        <v>182</v>
      </c>
      <c r="T8" s="3" t="s">
        <v>176</v>
      </c>
      <c r="U8" s="40" t="s">
        <v>176</v>
      </c>
      <c r="V8" s="3" t="s">
        <v>176</v>
      </c>
      <c r="W8" s="40"/>
      <c r="X8" s="3" t="s">
        <v>211</v>
      </c>
      <c r="Y8" s="40" t="s">
        <v>212</v>
      </c>
      <c r="Z8" s="3"/>
    </row>
    <row r="9" spans="1:33">
      <c r="A9" s="19">
        <v>8</v>
      </c>
      <c r="B9" s="91" t="s">
        <v>44</v>
      </c>
      <c r="C9" s="90" t="s">
        <v>33</v>
      </c>
      <c r="D9" s="94">
        <f t="shared" si="0"/>
        <v>0</v>
      </c>
      <c r="E9" s="94">
        <v>0</v>
      </c>
      <c r="F9" s="94">
        <v>0</v>
      </c>
      <c r="G9" s="94">
        <v>0</v>
      </c>
      <c r="H9" s="172" t="s">
        <v>179</v>
      </c>
      <c r="I9" s="3" t="s">
        <v>179</v>
      </c>
      <c r="J9" s="3" t="s">
        <v>179</v>
      </c>
      <c r="K9" s="3" t="s">
        <v>213</v>
      </c>
      <c r="L9" s="3" t="s">
        <v>181</v>
      </c>
      <c r="M9" s="3" t="s">
        <v>182</v>
      </c>
      <c r="N9" s="40" t="s">
        <v>181</v>
      </c>
      <c r="O9" s="3" t="s">
        <v>214</v>
      </c>
      <c r="P9" s="40" t="s">
        <v>215</v>
      </c>
      <c r="Q9" s="3" t="s">
        <v>215</v>
      </c>
      <c r="R9" s="40" t="s">
        <v>182</v>
      </c>
      <c r="S9" s="40" t="s">
        <v>182</v>
      </c>
      <c r="T9" s="3" t="s">
        <v>182</v>
      </c>
      <c r="U9" s="40" t="s">
        <v>182</v>
      </c>
      <c r="V9" s="3" t="s">
        <v>182</v>
      </c>
      <c r="W9" s="40" t="s">
        <v>182</v>
      </c>
      <c r="X9" s="3" t="s">
        <v>182</v>
      </c>
      <c r="Y9" s="40" t="s">
        <v>190</v>
      </c>
      <c r="Z9" s="3"/>
    </row>
    <row r="10" spans="1:33">
      <c r="A10" s="19">
        <v>9</v>
      </c>
      <c r="B10" s="91" t="s">
        <v>45</v>
      </c>
      <c r="C10" s="90" t="s">
        <v>33</v>
      </c>
      <c r="D10" s="94">
        <f t="shared" si="0"/>
        <v>0</v>
      </c>
      <c r="E10" s="94">
        <v>0</v>
      </c>
      <c r="F10" s="94">
        <v>0</v>
      </c>
      <c r="G10" s="94">
        <v>0</v>
      </c>
      <c r="H10" s="172" t="s">
        <v>179</v>
      </c>
      <c r="I10" s="3" t="s">
        <v>179</v>
      </c>
      <c r="J10" s="3" t="s">
        <v>179</v>
      </c>
      <c r="K10" s="3" t="s">
        <v>213</v>
      </c>
      <c r="L10" s="3" t="s">
        <v>181</v>
      </c>
      <c r="M10" s="3" t="s">
        <v>182</v>
      </c>
      <c r="N10" s="40" t="s">
        <v>181</v>
      </c>
      <c r="O10" s="3" t="s">
        <v>214</v>
      </c>
      <c r="P10" s="40" t="s">
        <v>215</v>
      </c>
      <c r="Q10" s="3" t="s">
        <v>215</v>
      </c>
      <c r="R10" s="40" t="s">
        <v>182</v>
      </c>
      <c r="S10" s="40" t="s">
        <v>182</v>
      </c>
      <c r="T10" s="3" t="s">
        <v>182</v>
      </c>
      <c r="U10" s="40" t="s">
        <v>182</v>
      </c>
      <c r="V10" s="3" t="s">
        <v>182</v>
      </c>
      <c r="W10" s="40" t="s">
        <v>182</v>
      </c>
      <c r="X10" s="3" t="s">
        <v>182</v>
      </c>
      <c r="Y10" s="40" t="s">
        <v>190</v>
      </c>
      <c r="Z10" s="3"/>
    </row>
    <row r="11" spans="1:33">
      <c r="A11" s="19">
        <v>10</v>
      </c>
      <c r="B11" s="105" t="s">
        <v>47</v>
      </c>
      <c r="C11" s="90" t="s">
        <v>33</v>
      </c>
      <c r="D11" s="94">
        <f t="shared" si="0"/>
        <v>324</v>
      </c>
      <c r="E11" s="94">
        <v>0</v>
      </c>
      <c r="F11" s="94">
        <v>324</v>
      </c>
      <c r="G11" s="94">
        <v>0</v>
      </c>
      <c r="H11" s="172" t="s">
        <v>179</v>
      </c>
      <c r="I11" s="3" t="s">
        <v>179</v>
      </c>
      <c r="J11" s="3" t="s">
        <v>179</v>
      </c>
      <c r="K11" s="3" t="s">
        <v>216</v>
      </c>
      <c r="L11" s="3" t="s">
        <v>181</v>
      </c>
      <c r="M11" s="3" t="s">
        <v>217</v>
      </c>
      <c r="N11" s="40" t="s">
        <v>217</v>
      </c>
      <c r="O11" s="3" t="s">
        <v>218</v>
      </c>
      <c r="P11" s="40" t="s">
        <v>218</v>
      </c>
      <c r="Q11" s="3" t="s">
        <v>219</v>
      </c>
      <c r="R11" s="40" t="s">
        <v>182</v>
      </c>
      <c r="S11" s="40" t="s">
        <v>182</v>
      </c>
      <c r="T11" s="3" t="s">
        <v>182</v>
      </c>
      <c r="U11" s="40" t="s">
        <v>182</v>
      </c>
      <c r="V11" s="3" t="s">
        <v>182</v>
      </c>
      <c r="W11" s="40" t="s">
        <v>192</v>
      </c>
      <c r="X11" s="3" t="s">
        <v>220</v>
      </c>
      <c r="Y11" s="40" t="s">
        <v>190</v>
      </c>
      <c r="Z11" s="3"/>
    </row>
    <row r="12" spans="1:33">
      <c r="A12" s="19">
        <v>11</v>
      </c>
      <c r="B12" s="105" t="s">
        <v>49</v>
      </c>
      <c r="C12" s="90" t="s">
        <v>50</v>
      </c>
      <c r="D12" s="94">
        <f t="shared" si="0"/>
        <v>800</v>
      </c>
      <c r="E12" s="94">
        <v>300</v>
      </c>
      <c r="F12" s="94">
        <v>300</v>
      </c>
      <c r="G12" s="94">
        <v>200</v>
      </c>
      <c r="H12" s="172" t="s">
        <v>179</v>
      </c>
      <c r="I12" s="3" t="s">
        <v>179</v>
      </c>
      <c r="J12" s="3" t="s">
        <v>179</v>
      </c>
      <c r="K12" s="3" t="s">
        <v>179</v>
      </c>
      <c r="L12" s="3" t="s">
        <v>181</v>
      </c>
      <c r="M12" s="3" t="s">
        <v>182</v>
      </c>
      <c r="N12" s="40" t="s">
        <v>181</v>
      </c>
      <c r="O12" s="3" t="s">
        <v>221</v>
      </c>
      <c r="P12" s="40" t="s">
        <v>221</v>
      </c>
      <c r="Q12" s="3" t="s">
        <v>222</v>
      </c>
      <c r="R12" s="40" t="s">
        <v>182</v>
      </c>
      <c r="S12" s="40" t="s">
        <v>182</v>
      </c>
      <c r="T12" s="3" t="s">
        <v>182</v>
      </c>
      <c r="U12" s="40" t="s">
        <v>182</v>
      </c>
      <c r="V12" s="3" t="s">
        <v>182</v>
      </c>
      <c r="W12" s="40" t="s">
        <v>192</v>
      </c>
      <c r="X12" s="3" t="s">
        <v>220</v>
      </c>
      <c r="Y12" s="40" t="s">
        <v>190</v>
      </c>
      <c r="Z12" s="3"/>
    </row>
    <row r="13" spans="1:33">
      <c r="A13" s="19">
        <v>12</v>
      </c>
      <c r="B13" s="105" t="s">
        <v>51</v>
      </c>
      <c r="C13" s="90" t="s">
        <v>50</v>
      </c>
      <c r="D13" s="94">
        <f t="shared" si="0"/>
        <v>1600</v>
      </c>
      <c r="E13" s="94">
        <v>600</v>
      </c>
      <c r="F13" s="94">
        <v>500</v>
      </c>
      <c r="G13" s="94">
        <v>500</v>
      </c>
      <c r="H13" s="172" t="s">
        <v>179</v>
      </c>
      <c r="I13" s="3" t="s">
        <v>179</v>
      </c>
      <c r="J13" s="3" t="s">
        <v>179</v>
      </c>
      <c r="K13" s="3" t="s">
        <v>179</v>
      </c>
      <c r="L13" s="3" t="s">
        <v>181</v>
      </c>
      <c r="M13" s="3" t="s">
        <v>182</v>
      </c>
      <c r="N13" s="40" t="s">
        <v>181</v>
      </c>
      <c r="O13" s="3" t="s">
        <v>221</v>
      </c>
      <c r="P13" s="40" t="s">
        <v>221</v>
      </c>
      <c r="Q13" s="3" t="s">
        <v>222</v>
      </c>
      <c r="R13" s="40" t="s">
        <v>182</v>
      </c>
      <c r="S13" s="40" t="s">
        <v>182</v>
      </c>
      <c r="T13" s="3" t="s">
        <v>182</v>
      </c>
      <c r="U13" s="40" t="s">
        <v>182</v>
      </c>
      <c r="V13" s="3" t="s">
        <v>182</v>
      </c>
      <c r="W13" s="40" t="s">
        <v>192</v>
      </c>
      <c r="X13" s="3" t="s">
        <v>220</v>
      </c>
      <c r="Y13" s="40" t="s">
        <v>190</v>
      </c>
      <c r="Z13" s="3"/>
    </row>
    <row r="14" spans="1:33">
      <c r="A14" s="19">
        <v>13</v>
      </c>
      <c r="B14" s="105" t="s">
        <v>53</v>
      </c>
      <c r="C14" s="90" t="s">
        <v>50</v>
      </c>
      <c r="D14" s="94">
        <v>1255</v>
      </c>
      <c r="E14" s="94">
        <v>0</v>
      </c>
      <c r="F14" s="94">
        <v>700</v>
      </c>
      <c r="G14" s="94">
        <v>555</v>
      </c>
      <c r="H14" s="172" t="s">
        <v>223</v>
      </c>
      <c r="I14" s="3" t="s">
        <v>224</v>
      </c>
      <c r="J14" s="3" t="s">
        <v>224</v>
      </c>
      <c r="K14" s="3" t="s">
        <v>225</v>
      </c>
      <c r="L14" s="3" t="s">
        <v>226</v>
      </c>
      <c r="M14" s="3" t="s">
        <v>226</v>
      </c>
      <c r="N14" s="40" t="s">
        <v>226</v>
      </c>
      <c r="O14" s="3" t="s">
        <v>226</v>
      </c>
      <c r="P14" s="40" t="s">
        <v>226</v>
      </c>
      <c r="Q14" s="3" t="s">
        <v>227</v>
      </c>
      <c r="R14" s="40" t="s">
        <v>182</v>
      </c>
      <c r="S14" s="40" t="s">
        <v>182</v>
      </c>
      <c r="T14" s="3" t="s">
        <v>182</v>
      </c>
      <c r="U14" s="40" t="s">
        <v>182</v>
      </c>
      <c r="V14" s="3" t="s">
        <v>182</v>
      </c>
      <c r="W14" s="40" t="s">
        <v>192</v>
      </c>
      <c r="X14" s="3" t="s">
        <v>220</v>
      </c>
      <c r="Y14" s="40" t="s">
        <v>190</v>
      </c>
      <c r="Z14" s="3"/>
    </row>
    <row r="15" spans="1:33">
      <c r="A15" s="19">
        <v>14</v>
      </c>
      <c r="B15" s="188" t="s">
        <v>29</v>
      </c>
      <c r="C15" s="90" t="s">
        <v>50</v>
      </c>
      <c r="D15" s="94">
        <f t="shared" si="0"/>
        <v>350</v>
      </c>
      <c r="E15" s="94">
        <v>0</v>
      </c>
      <c r="F15" s="94">
        <v>0</v>
      </c>
      <c r="G15" s="94">
        <v>350</v>
      </c>
      <c r="H15" s="172"/>
      <c r="I15" s="3"/>
      <c r="J15" s="3" t="s">
        <v>179</v>
      </c>
      <c r="K15" s="3" t="s">
        <v>179</v>
      </c>
      <c r="L15" s="3" t="s">
        <v>181</v>
      </c>
      <c r="M15" s="3" t="s">
        <v>228</v>
      </c>
      <c r="N15" s="40" t="s">
        <v>228</v>
      </c>
      <c r="O15" s="3" t="s">
        <v>228</v>
      </c>
      <c r="P15" s="40" t="s">
        <v>229</v>
      </c>
      <c r="Q15" s="3" t="s">
        <v>230</v>
      </c>
      <c r="R15" s="40" t="s">
        <v>231</v>
      </c>
      <c r="S15" s="40" t="s">
        <v>232</v>
      </c>
      <c r="T15" s="3" t="s">
        <v>232</v>
      </c>
      <c r="U15" s="40" t="s">
        <v>176</v>
      </c>
      <c r="V15" s="3" t="s">
        <v>176</v>
      </c>
      <c r="W15" s="40" t="s">
        <v>176</v>
      </c>
      <c r="X15" s="3" t="s">
        <v>233</v>
      </c>
      <c r="Y15" s="40" t="s">
        <v>234</v>
      </c>
      <c r="Z15" s="3"/>
    </row>
    <row r="16" spans="1:33">
      <c r="A16" s="19">
        <v>15</v>
      </c>
      <c r="B16" s="188" t="s">
        <v>22</v>
      </c>
      <c r="C16" s="90" t="s">
        <v>50</v>
      </c>
      <c r="D16" s="94">
        <f t="shared" si="0"/>
        <v>550</v>
      </c>
      <c r="E16" s="94">
        <v>0</v>
      </c>
      <c r="F16" s="94">
        <v>0</v>
      </c>
      <c r="G16" s="94">
        <v>550</v>
      </c>
      <c r="H16" s="172" t="s">
        <v>235</v>
      </c>
      <c r="I16" s="3" t="s">
        <v>235</v>
      </c>
      <c r="J16" s="3" t="s">
        <v>179</v>
      </c>
      <c r="K16" s="131" t="s">
        <v>236</v>
      </c>
      <c r="L16" s="3" t="s">
        <v>237</v>
      </c>
      <c r="M16" s="3" t="s">
        <v>238</v>
      </c>
      <c r="N16" s="40" t="s">
        <v>238</v>
      </c>
      <c r="O16" s="3" t="s">
        <v>239</v>
      </c>
      <c r="P16" s="40" t="s">
        <v>240</v>
      </c>
      <c r="Q16" s="3" t="s">
        <v>230</v>
      </c>
      <c r="R16" s="40" t="s">
        <v>231</v>
      </c>
      <c r="S16" s="40" t="s">
        <v>232</v>
      </c>
      <c r="T16" s="3" t="s">
        <v>232</v>
      </c>
      <c r="U16" s="40" t="s">
        <v>176</v>
      </c>
      <c r="V16" s="3" t="s">
        <v>176</v>
      </c>
      <c r="W16" s="40" t="s">
        <v>176</v>
      </c>
      <c r="X16" s="3" t="s">
        <v>241</v>
      </c>
      <c r="Y16" s="40" t="s">
        <v>242</v>
      </c>
      <c r="Z16" s="3"/>
    </row>
    <row r="17" spans="1:34">
      <c r="A17" s="19">
        <v>16</v>
      </c>
      <c r="B17" s="105" t="s">
        <v>121</v>
      </c>
      <c r="C17" s="90" t="s">
        <v>50</v>
      </c>
      <c r="D17" s="94">
        <f t="shared" si="0"/>
        <v>0</v>
      </c>
      <c r="E17" s="94">
        <v>0</v>
      </c>
      <c r="F17" s="94">
        <v>0</v>
      </c>
      <c r="G17" s="94">
        <v>0</v>
      </c>
      <c r="H17" s="172" t="s">
        <v>243</v>
      </c>
      <c r="I17" s="3" t="s">
        <v>244</v>
      </c>
      <c r="J17" s="3" t="s">
        <v>179</v>
      </c>
      <c r="K17" s="3" t="s">
        <v>245</v>
      </c>
      <c r="L17" s="3" t="s">
        <v>246</v>
      </c>
      <c r="M17" s="3" t="s">
        <v>238</v>
      </c>
      <c r="N17" s="40" t="s">
        <v>238</v>
      </c>
      <c r="O17" s="3" t="s">
        <v>247</v>
      </c>
      <c r="P17" s="40" t="s">
        <v>247</v>
      </c>
      <c r="Q17" s="3" t="s">
        <v>247</v>
      </c>
      <c r="R17" s="40"/>
      <c r="S17" s="40" t="s">
        <v>247</v>
      </c>
      <c r="T17" s="283" t="s">
        <v>247</v>
      </c>
      <c r="U17" s="288" t="s">
        <v>247</v>
      </c>
      <c r="V17" s="3" t="s">
        <v>247</v>
      </c>
      <c r="W17" s="40" t="s">
        <v>182</v>
      </c>
      <c r="X17" s="3" t="s">
        <v>248</v>
      </c>
      <c r="Y17" s="40" t="s">
        <v>248</v>
      </c>
      <c r="Z17" s="3"/>
    </row>
    <row r="18" spans="1:34">
      <c r="A18" s="19">
        <v>17</v>
      </c>
      <c r="B18" s="105" t="s">
        <v>72</v>
      </c>
      <c r="C18" s="90" t="s">
        <v>50</v>
      </c>
      <c r="D18" s="94">
        <f t="shared" si="0"/>
        <v>250</v>
      </c>
      <c r="E18" s="94">
        <v>250</v>
      </c>
      <c r="F18" s="94">
        <v>0</v>
      </c>
      <c r="G18" s="94">
        <v>0</v>
      </c>
      <c r="H18" s="172" t="s">
        <v>249</v>
      </c>
      <c r="I18" s="3" t="s">
        <v>249</v>
      </c>
      <c r="J18" s="3" t="s">
        <v>250</v>
      </c>
      <c r="K18" s="3" t="s">
        <v>251</v>
      </c>
      <c r="L18" s="3" t="s">
        <v>181</v>
      </c>
      <c r="M18" s="3" t="s">
        <v>182</v>
      </c>
      <c r="N18" s="40" t="s">
        <v>182</v>
      </c>
      <c r="O18" s="3" t="s">
        <v>252</v>
      </c>
      <c r="P18" s="40" t="s">
        <v>253</v>
      </c>
      <c r="Q18" s="3" t="s">
        <v>219</v>
      </c>
      <c r="R18" s="40" t="s">
        <v>182</v>
      </c>
      <c r="S18" s="40" t="s">
        <v>182</v>
      </c>
      <c r="T18" s="3" t="s">
        <v>182</v>
      </c>
      <c r="U18" s="40" t="s">
        <v>182</v>
      </c>
      <c r="V18" s="3" t="s">
        <v>182</v>
      </c>
      <c r="W18" s="40" t="s">
        <v>182</v>
      </c>
      <c r="X18" s="3" t="s">
        <v>220</v>
      </c>
      <c r="Y18" s="40" t="s">
        <v>190</v>
      </c>
      <c r="Z18" s="3"/>
    </row>
    <row r="19" spans="1:34">
      <c r="A19" s="19">
        <v>18</v>
      </c>
      <c r="B19" s="105" t="s">
        <v>61</v>
      </c>
      <c r="C19" s="90" t="s">
        <v>50</v>
      </c>
      <c r="D19" s="94">
        <f t="shared" si="0"/>
        <v>250</v>
      </c>
      <c r="E19" s="94">
        <v>250</v>
      </c>
      <c r="F19" s="94">
        <v>0</v>
      </c>
      <c r="G19" s="94">
        <v>0</v>
      </c>
      <c r="H19" s="172" t="s">
        <v>249</v>
      </c>
      <c r="I19" s="3" t="s">
        <v>249</v>
      </c>
      <c r="J19" s="3" t="s">
        <v>254</v>
      </c>
      <c r="K19" s="3" t="s">
        <v>255</v>
      </c>
      <c r="L19" s="3" t="s">
        <v>181</v>
      </c>
      <c r="M19" s="3" t="s">
        <v>182</v>
      </c>
      <c r="N19" s="40" t="s">
        <v>182</v>
      </c>
      <c r="O19" s="3" t="s">
        <v>252</v>
      </c>
      <c r="P19" s="40" t="s">
        <v>253</v>
      </c>
      <c r="Q19" s="3" t="s">
        <v>219</v>
      </c>
      <c r="R19" s="40" t="s">
        <v>182</v>
      </c>
      <c r="S19" s="40" t="s">
        <v>182</v>
      </c>
      <c r="T19" s="3" t="s">
        <v>182</v>
      </c>
      <c r="U19" s="40" t="s">
        <v>182</v>
      </c>
      <c r="V19" s="3" t="s">
        <v>182</v>
      </c>
      <c r="W19" s="40" t="s">
        <v>182</v>
      </c>
      <c r="X19" s="3" t="s">
        <v>220</v>
      </c>
      <c r="Y19" s="40" t="s">
        <v>190</v>
      </c>
      <c r="Z19" s="3"/>
    </row>
    <row r="20" spans="1:34">
      <c r="A20" s="19">
        <v>19</v>
      </c>
      <c r="B20" s="105" t="s">
        <v>256</v>
      </c>
      <c r="C20" s="90" t="s">
        <v>33</v>
      </c>
      <c r="D20" s="94">
        <f t="shared" si="0"/>
        <v>50</v>
      </c>
      <c r="E20" s="94">
        <v>0</v>
      </c>
      <c r="F20" s="94">
        <v>0</v>
      </c>
      <c r="G20" s="94">
        <v>50</v>
      </c>
      <c r="H20" s="172"/>
      <c r="I20" s="3"/>
      <c r="J20" s="3"/>
      <c r="K20" s="3"/>
      <c r="L20" s="3"/>
      <c r="M20" s="3"/>
      <c r="N20" s="40"/>
      <c r="O20" s="3"/>
      <c r="P20" s="40"/>
      <c r="Q20" s="3" t="s">
        <v>257</v>
      </c>
      <c r="R20" s="40" t="s">
        <v>257</v>
      </c>
      <c r="S20" s="40" t="s">
        <v>257</v>
      </c>
      <c r="T20" s="3" t="s">
        <v>258</v>
      </c>
      <c r="U20" t="s">
        <v>259</v>
      </c>
      <c r="V20" s="3"/>
      <c r="W20" s="40" t="s">
        <v>260</v>
      </c>
      <c r="X20" s="3" t="s">
        <v>261</v>
      </c>
      <c r="Y20" s="40" t="s">
        <v>262</v>
      </c>
      <c r="Z20" s="3"/>
    </row>
    <row r="21" spans="1:34">
      <c r="A21" s="19">
        <v>20</v>
      </c>
      <c r="B21" s="105" t="s">
        <v>263</v>
      </c>
      <c r="C21" s="90" t="s">
        <v>33</v>
      </c>
      <c r="D21" s="94">
        <f t="shared" si="0"/>
        <v>50</v>
      </c>
      <c r="E21" s="94">
        <v>0</v>
      </c>
      <c r="F21" s="94">
        <v>0</v>
      </c>
      <c r="G21" s="94">
        <v>50</v>
      </c>
      <c r="H21" s="172"/>
      <c r="I21" s="3"/>
      <c r="J21" s="3"/>
      <c r="K21" s="3"/>
      <c r="L21" s="3"/>
      <c r="M21" s="3"/>
      <c r="N21" s="40"/>
      <c r="O21" s="3"/>
      <c r="P21" s="40"/>
      <c r="Q21" s="3" t="s">
        <v>257</v>
      </c>
      <c r="R21" s="40" t="s">
        <v>257</v>
      </c>
      <c r="S21" s="40" t="s">
        <v>257</v>
      </c>
      <c r="T21" s="3" t="s">
        <v>258</v>
      </c>
      <c r="U21" t="s">
        <v>259</v>
      </c>
      <c r="V21" s="3" t="s">
        <v>264</v>
      </c>
      <c r="W21" s="40" t="s">
        <v>260</v>
      </c>
      <c r="X21" s="3" t="s">
        <v>265</v>
      </c>
      <c r="Y21" s="40" t="s">
        <v>266</v>
      </c>
      <c r="Z21" s="3"/>
    </row>
    <row r="22" spans="1:34">
      <c r="A22" s="19"/>
      <c r="B22" s="105"/>
      <c r="C22" s="90"/>
      <c r="D22" s="94"/>
      <c r="E22" s="224"/>
      <c r="F22" s="93"/>
      <c r="G22" s="94"/>
      <c r="H22" s="172"/>
      <c r="I22" s="3"/>
      <c r="J22" s="3"/>
      <c r="K22" s="3"/>
      <c r="L22" s="3"/>
      <c r="M22" s="3"/>
      <c r="N22" s="40"/>
      <c r="O22" s="3"/>
      <c r="P22" s="40"/>
      <c r="Q22" s="3"/>
      <c r="R22" s="40"/>
      <c r="S22" s="69"/>
      <c r="T22" s="276"/>
      <c r="V22" s="3"/>
      <c r="W22" s="40"/>
      <c r="X22" s="3"/>
      <c r="Y22" s="40"/>
      <c r="Z22" s="3"/>
    </row>
    <row r="23" spans="1:34">
      <c r="B23" s="3" t="s">
        <v>147</v>
      </c>
      <c r="C23" s="3"/>
      <c r="D23" s="115">
        <f>SUM(D2:D21)</f>
        <v>10629</v>
      </c>
      <c r="E23" s="115">
        <f t="shared" ref="E23:G23" si="1">SUM(E2:E21)</f>
        <v>1800</v>
      </c>
      <c r="F23" s="115">
        <f t="shared" si="1"/>
        <v>4224</v>
      </c>
      <c r="G23" s="115">
        <f t="shared" si="1"/>
        <v>4605</v>
      </c>
      <c r="H23" s="172"/>
      <c r="I23" s="3"/>
      <c r="J23" s="3"/>
      <c r="K23" s="3"/>
      <c r="L23" s="3"/>
      <c r="M23" s="3"/>
      <c r="N23" s="40"/>
      <c r="O23" s="3"/>
      <c r="P23" s="40"/>
      <c r="Q23" s="3"/>
      <c r="R23" s="40"/>
      <c r="S23" s="3"/>
      <c r="T23" s="3"/>
      <c r="V23" s="3"/>
      <c r="W23" s="40"/>
      <c r="X23" s="3"/>
      <c r="Y23" s="40"/>
      <c r="Z23" s="3"/>
    </row>
    <row r="24" spans="1:34">
      <c r="B24" s="3"/>
      <c r="C24" s="3"/>
      <c r="D24" s="19"/>
      <c r="E24" s="19"/>
      <c r="F24" s="19"/>
      <c r="G24" s="3"/>
      <c r="H24" s="172"/>
      <c r="I24" s="3"/>
      <c r="J24" s="3"/>
      <c r="K24" s="3"/>
      <c r="L24" s="3"/>
      <c r="M24" s="3"/>
      <c r="N24" s="40"/>
      <c r="O24" s="3"/>
      <c r="P24" s="40"/>
      <c r="Q24" s="3"/>
      <c r="R24" s="3"/>
      <c r="V24" s="3"/>
      <c r="W24" s="40"/>
      <c r="X24" s="174"/>
      <c r="Y24" s="289"/>
      <c r="Z24" s="3"/>
    </row>
    <row r="25" spans="1:34">
      <c r="A25" s="19" t="s">
        <v>169</v>
      </c>
      <c r="B25" s="239" t="s">
        <v>126</v>
      </c>
      <c r="C25" s="239" t="s">
        <v>4</v>
      </c>
      <c r="D25" s="96" t="s">
        <v>267</v>
      </c>
      <c r="E25" s="96" t="s">
        <v>268</v>
      </c>
      <c r="F25" s="96" t="s">
        <v>157</v>
      </c>
      <c r="G25" s="96" t="s">
        <v>269</v>
      </c>
      <c r="H25" s="172"/>
      <c r="I25" s="3"/>
      <c r="J25" s="3"/>
      <c r="K25" s="3"/>
      <c r="L25" s="3"/>
      <c r="M25" s="3"/>
      <c r="N25" s="40"/>
      <c r="O25" s="143">
        <v>45958</v>
      </c>
      <c r="P25" s="175">
        <f>P1</f>
        <v>45965</v>
      </c>
      <c r="Q25" s="143">
        <f>Q1</f>
        <v>45979</v>
      </c>
      <c r="R25" s="143">
        <f>Q25+7</f>
        <v>45986</v>
      </c>
      <c r="S25" s="275">
        <f>R25+7</f>
        <v>45993</v>
      </c>
      <c r="T25" s="275">
        <f>S25+7</f>
        <v>46000</v>
      </c>
      <c r="U25" s="284">
        <f>T25+8</f>
        <v>46008</v>
      </c>
      <c r="V25" s="287">
        <f>U25+6</f>
        <v>46014</v>
      </c>
      <c r="W25" s="340">
        <f>V25+7</f>
        <v>46021</v>
      </c>
      <c r="X25" s="3"/>
      <c r="Y25" s="40"/>
      <c r="Z25" s="3"/>
    </row>
    <row r="26" spans="1:34">
      <c r="A26" s="19">
        <v>1</v>
      </c>
      <c r="B26" s="105" t="s">
        <v>84</v>
      </c>
      <c r="C26" s="91" t="s">
        <v>33</v>
      </c>
      <c r="D26" s="23">
        <f t="shared" ref="D26:D43" si="2">SUM(E26:G26)</f>
        <v>0</v>
      </c>
      <c r="E26" s="277">
        <v>0</v>
      </c>
      <c r="F26" s="277">
        <v>0</v>
      </c>
      <c r="G26" s="277">
        <v>0</v>
      </c>
      <c r="H26" s="292"/>
      <c r="I26" s="3"/>
      <c r="J26" s="3"/>
      <c r="K26" s="3"/>
      <c r="L26" s="3"/>
      <c r="M26" s="3"/>
      <c r="N26" s="40"/>
      <c r="O26" s="3" t="s">
        <v>270</v>
      </c>
      <c r="P26" s="40" t="s">
        <v>271</v>
      </c>
      <c r="Q26" s="3" t="s">
        <v>272</v>
      </c>
      <c r="R26" s="40" t="s">
        <v>273</v>
      </c>
      <c r="S26" s="3" t="s">
        <v>176</v>
      </c>
      <c r="T26" s="3" t="s">
        <v>176</v>
      </c>
      <c r="U26" t="s">
        <v>274</v>
      </c>
      <c r="V26" s="3" t="s">
        <v>274</v>
      </c>
      <c r="W26" s="40" t="s">
        <v>275</v>
      </c>
      <c r="X26" s="3" t="s">
        <v>276</v>
      </c>
      <c r="Y26" s="40" t="s">
        <v>219</v>
      </c>
      <c r="Z26" s="3"/>
    </row>
    <row r="27" spans="1:34">
      <c r="A27" s="19">
        <v>2</v>
      </c>
      <c r="B27" s="105" t="s">
        <v>34</v>
      </c>
      <c r="C27" s="91" t="s">
        <v>33</v>
      </c>
      <c r="D27" s="23">
        <f t="shared" si="2"/>
        <v>0</v>
      </c>
      <c r="E27" s="277">
        <v>0</v>
      </c>
      <c r="F27" s="277">
        <v>0</v>
      </c>
      <c r="G27" s="277">
        <v>0</v>
      </c>
      <c r="H27" s="292"/>
      <c r="I27" s="3"/>
      <c r="J27" s="3"/>
      <c r="K27" s="3"/>
      <c r="L27" s="3"/>
      <c r="M27" s="3"/>
      <c r="N27" s="40"/>
      <c r="O27" s="3" t="s">
        <v>270</v>
      </c>
      <c r="P27" s="40" t="s">
        <v>271</v>
      </c>
      <c r="Q27" s="3" t="s">
        <v>272</v>
      </c>
      <c r="R27" s="40" t="s">
        <v>273</v>
      </c>
      <c r="S27" s="3" t="s">
        <v>176</v>
      </c>
      <c r="T27" s="3" t="s">
        <v>176</v>
      </c>
      <c r="U27" t="s">
        <v>274</v>
      </c>
      <c r="V27" s="3" t="s">
        <v>274</v>
      </c>
      <c r="W27" s="40" t="s">
        <v>275</v>
      </c>
      <c r="X27" s="3" t="s">
        <v>276</v>
      </c>
      <c r="Y27" s="40" t="s">
        <v>219</v>
      </c>
      <c r="Z27" s="3"/>
    </row>
    <row r="28" spans="1:34">
      <c r="A28" s="19">
        <v>3</v>
      </c>
      <c r="B28" s="105" t="s">
        <v>36</v>
      </c>
      <c r="C28" s="91" t="s">
        <v>33</v>
      </c>
      <c r="D28" s="23">
        <f t="shared" si="2"/>
        <v>400</v>
      </c>
      <c r="E28" s="278">
        <v>200</v>
      </c>
      <c r="F28" s="277">
        <v>200</v>
      </c>
      <c r="G28" s="278">
        <v>0</v>
      </c>
      <c r="H28" s="172"/>
      <c r="I28" s="3"/>
      <c r="J28" s="3"/>
      <c r="K28" s="3"/>
      <c r="L28" s="3"/>
      <c r="M28" s="3"/>
      <c r="N28" s="40"/>
      <c r="O28" s="3" t="s">
        <v>277</v>
      </c>
      <c r="P28" s="40" t="s">
        <v>271</v>
      </c>
      <c r="Q28" s="3" t="s">
        <v>219</v>
      </c>
      <c r="R28" s="40" t="s">
        <v>273</v>
      </c>
      <c r="S28" s="3"/>
      <c r="T28" s="3" t="s">
        <v>278</v>
      </c>
      <c r="U28" s="40" t="s">
        <v>278</v>
      </c>
      <c r="V28" s="3" t="s">
        <v>278</v>
      </c>
      <c r="W28" s="40" t="s">
        <v>278</v>
      </c>
      <c r="X28" s="3" t="s">
        <v>279</v>
      </c>
      <c r="Y28" s="40" t="s">
        <v>178</v>
      </c>
      <c r="Z28" s="3"/>
    </row>
    <row r="29" spans="1:34">
      <c r="A29" s="19">
        <v>4</v>
      </c>
      <c r="B29" s="105" t="s">
        <v>37</v>
      </c>
      <c r="C29" s="91" t="s">
        <v>33</v>
      </c>
      <c r="D29" s="23">
        <f t="shared" si="2"/>
        <v>200</v>
      </c>
      <c r="E29" s="278">
        <v>0</v>
      </c>
      <c r="F29" s="277">
        <v>0</v>
      </c>
      <c r="G29" s="278">
        <v>200</v>
      </c>
      <c r="H29" s="172"/>
      <c r="I29" s="3"/>
      <c r="J29" s="3"/>
      <c r="K29" s="3"/>
      <c r="L29" s="3"/>
      <c r="M29" s="3"/>
      <c r="N29" s="40"/>
      <c r="O29" s="3" t="s">
        <v>277</v>
      </c>
      <c r="P29" s="40" t="s">
        <v>271</v>
      </c>
      <c r="Q29" s="3" t="s">
        <v>219</v>
      </c>
      <c r="R29" s="40" t="s">
        <v>273</v>
      </c>
      <c r="S29" s="3"/>
      <c r="T29" s="69" t="s">
        <v>278</v>
      </c>
      <c r="U29" s="111" t="s">
        <v>278</v>
      </c>
      <c r="V29" s="3" t="s">
        <v>278</v>
      </c>
      <c r="W29" s="40" t="s">
        <v>278</v>
      </c>
      <c r="X29" s="3" t="s">
        <v>279</v>
      </c>
      <c r="Y29" s="40" t="s">
        <v>178</v>
      </c>
      <c r="Z29" s="3"/>
    </row>
    <row r="30" spans="1:34">
      <c r="A30" s="19">
        <v>5</v>
      </c>
      <c r="B30" s="105" t="s">
        <v>39</v>
      </c>
      <c r="C30" s="91" t="s">
        <v>33</v>
      </c>
      <c r="D30" s="23">
        <f t="shared" si="2"/>
        <v>18000</v>
      </c>
      <c r="E30" s="278">
        <v>3000</v>
      </c>
      <c r="F30" s="277">
        <v>6000</v>
      </c>
      <c r="G30" s="278">
        <v>9000</v>
      </c>
      <c r="H30" s="292"/>
      <c r="I30" s="3"/>
      <c r="J30" s="3"/>
      <c r="K30" s="3"/>
      <c r="L30" s="3"/>
      <c r="M30" s="3"/>
      <c r="N30" s="40"/>
      <c r="O30" s="3" t="s">
        <v>280</v>
      </c>
      <c r="P30" s="40" t="s">
        <v>281</v>
      </c>
      <c r="Q30" s="3" t="s">
        <v>281</v>
      </c>
      <c r="R30" s="40" t="s">
        <v>281</v>
      </c>
      <c r="S30" s="40"/>
      <c r="T30" s="3" t="s">
        <v>281</v>
      </c>
      <c r="U30" s="40" t="s">
        <v>281</v>
      </c>
      <c r="V30" s="3" t="s">
        <v>282</v>
      </c>
      <c r="W30" s="40" t="s">
        <v>282</v>
      </c>
      <c r="X30" s="3" t="s">
        <v>283</v>
      </c>
      <c r="Y30" s="40" t="s">
        <v>284</v>
      </c>
      <c r="Z30" s="3"/>
      <c r="AH30" s="135"/>
    </row>
    <row r="31" spans="1:34">
      <c r="A31" s="19">
        <v>6</v>
      </c>
      <c r="B31" s="105" t="s">
        <v>41</v>
      </c>
      <c r="C31" s="91" t="s">
        <v>33</v>
      </c>
      <c r="D31" s="23">
        <f t="shared" si="2"/>
        <v>0</v>
      </c>
      <c r="E31" s="277">
        <v>0</v>
      </c>
      <c r="F31" s="277">
        <v>0</v>
      </c>
      <c r="G31" s="277">
        <v>0</v>
      </c>
      <c r="H31" s="292"/>
      <c r="I31" s="3"/>
      <c r="J31" s="3"/>
      <c r="K31" s="3"/>
      <c r="L31" s="3"/>
      <c r="M31" s="3"/>
      <c r="N31" s="40"/>
      <c r="O31" s="3" t="s">
        <v>270</v>
      </c>
      <c r="P31" s="40" t="s">
        <v>271</v>
      </c>
      <c r="Q31" s="3" t="s">
        <v>272</v>
      </c>
      <c r="R31" s="40" t="s">
        <v>273</v>
      </c>
      <c r="S31" s="3"/>
      <c r="T31" s="174" t="s">
        <v>285</v>
      </c>
      <c r="U31" s="289" t="s">
        <v>285</v>
      </c>
      <c r="V31" s="3" t="s">
        <v>285</v>
      </c>
      <c r="W31" s="40" t="s">
        <v>285</v>
      </c>
      <c r="X31" s="3" t="s">
        <v>286</v>
      </c>
      <c r="Y31" s="40" t="s">
        <v>219</v>
      </c>
      <c r="Z31" s="3"/>
      <c r="AH31" s="388"/>
    </row>
    <row r="32" spans="1:34">
      <c r="A32" s="19">
        <v>7</v>
      </c>
      <c r="B32" s="105" t="s">
        <v>42</v>
      </c>
      <c r="C32" s="91" t="s">
        <v>33</v>
      </c>
      <c r="D32" s="23">
        <f t="shared" si="2"/>
        <v>0</v>
      </c>
      <c r="E32" s="277">
        <v>0</v>
      </c>
      <c r="F32" s="277">
        <v>0</v>
      </c>
      <c r="G32" s="277">
        <v>0</v>
      </c>
      <c r="H32" s="292"/>
      <c r="I32" s="3"/>
      <c r="J32" s="3"/>
      <c r="K32" s="3"/>
      <c r="L32" s="3"/>
      <c r="M32" s="3"/>
      <c r="N32" s="40"/>
      <c r="O32" s="3" t="s">
        <v>270</v>
      </c>
      <c r="P32" s="40" t="s">
        <v>271</v>
      </c>
      <c r="Q32" s="3" t="s">
        <v>272</v>
      </c>
      <c r="R32" s="40" t="s">
        <v>273</v>
      </c>
      <c r="S32" s="3"/>
      <c r="T32" s="174" t="s">
        <v>285</v>
      </c>
      <c r="U32" s="289" t="s">
        <v>285</v>
      </c>
      <c r="V32" s="3" t="s">
        <v>285</v>
      </c>
      <c r="W32" s="40" t="s">
        <v>285</v>
      </c>
      <c r="X32" s="3" t="s">
        <v>286</v>
      </c>
      <c r="Y32" s="40" t="s">
        <v>219</v>
      </c>
      <c r="Z32" s="3"/>
      <c r="AH32" s="388"/>
    </row>
    <row r="33" spans="1:30">
      <c r="A33" s="19">
        <v>8</v>
      </c>
      <c r="B33" s="105" t="s">
        <v>44</v>
      </c>
      <c r="C33" s="91" t="s">
        <v>33</v>
      </c>
      <c r="D33" s="23">
        <f t="shared" si="2"/>
        <v>200</v>
      </c>
      <c r="E33" s="278">
        <v>0</v>
      </c>
      <c r="F33" s="277">
        <v>0</v>
      </c>
      <c r="G33" s="278">
        <v>200</v>
      </c>
      <c r="H33" s="292"/>
      <c r="I33" s="3"/>
      <c r="J33" s="3"/>
      <c r="K33" s="3"/>
      <c r="L33" s="3"/>
      <c r="M33" s="3"/>
      <c r="N33" s="40"/>
      <c r="O33" s="3" t="s">
        <v>270</v>
      </c>
      <c r="P33" s="40" t="s">
        <v>271</v>
      </c>
      <c r="Q33" s="3" t="s">
        <v>219</v>
      </c>
      <c r="R33" s="40" t="s">
        <v>273</v>
      </c>
      <c r="S33" s="3"/>
      <c r="T33" s="3" t="s">
        <v>176</v>
      </c>
      <c r="U33" t="s">
        <v>274</v>
      </c>
      <c r="V33" s="3" t="s">
        <v>274</v>
      </c>
      <c r="W33" s="40" t="s">
        <v>274</v>
      </c>
      <c r="X33" s="3" t="s">
        <v>287</v>
      </c>
      <c r="Y33" s="40" t="s">
        <v>288</v>
      </c>
      <c r="Z33" s="3"/>
    </row>
    <row r="34" spans="1:30">
      <c r="A34" s="19">
        <v>9</v>
      </c>
      <c r="B34" s="105" t="s">
        <v>45</v>
      </c>
      <c r="C34" s="91" t="s">
        <v>33</v>
      </c>
      <c r="D34" s="23">
        <f t="shared" si="2"/>
        <v>200</v>
      </c>
      <c r="E34" s="278">
        <v>0</v>
      </c>
      <c r="F34" s="277">
        <v>0</v>
      </c>
      <c r="G34" s="278">
        <v>200</v>
      </c>
      <c r="H34" s="292"/>
      <c r="I34" s="3"/>
      <c r="J34" s="3"/>
      <c r="K34" s="3"/>
      <c r="L34" s="3"/>
      <c r="M34" s="3"/>
      <c r="N34" s="40"/>
      <c r="O34" s="3" t="s">
        <v>270</v>
      </c>
      <c r="P34" s="40" t="s">
        <v>271</v>
      </c>
      <c r="Q34" s="3" t="s">
        <v>219</v>
      </c>
      <c r="R34" s="40" t="s">
        <v>273</v>
      </c>
      <c r="S34" s="3"/>
      <c r="T34" s="69" t="s">
        <v>176</v>
      </c>
      <c r="U34" t="s">
        <v>274</v>
      </c>
      <c r="V34" s="3" t="s">
        <v>274</v>
      </c>
      <c r="W34" s="40" t="s">
        <v>274</v>
      </c>
      <c r="X34" s="3" t="s">
        <v>287</v>
      </c>
      <c r="Y34" s="40" t="s">
        <v>289</v>
      </c>
      <c r="Z34" s="3"/>
    </row>
    <row r="35" spans="1:30">
      <c r="A35" s="19">
        <v>10</v>
      </c>
      <c r="B35" s="105" t="s">
        <v>47</v>
      </c>
      <c r="C35" s="91" t="s">
        <v>33</v>
      </c>
      <c r="D35" s="23">
        <f t="shared" si="2"/>
        <v>648</v>
      </c>
      <c r="E35" s="278">
        <v>324</v>
      </c>
      <c r="F35" s="277">
        <v>120</v>
      </c>
      <c r="G35" s="278">
        <v>204</v>
      </c>
      <c r="H35" s="172"/>
      <c r="I35" s="69"/>
      <c r="J35" s="69"/>
      <c r="K35" s="69"/>
      <c r="L35" s="69"/>
      <c r="M35" s="69"/>
      <c r="N35" s="111"/>
      <c r="O35" s="3" t="s">
        <v>290</v>
      </c>
      <c r="P35" s="40" t="s">
        <v>201</v>
      </c>
      <c r="Q35" s="3" t="s">
        <v>219</v>
      </c>
      <c r="R35" s="40" t="s">
        <v>182</v>
      </c>
      <c r="S35" s="40"/>
      <c r="T35" s="3" t="s">
        <v>182</v>
      </c>
      <c r="U35" s="40" t="s">
        <v>274</v>
      </c>
      <c r="V35" s="3" t="s">
        <v>176</v>
      </c>
      <c r="W35" s="40" t="s">
        <v>176</v>
      </c>
      <c r="X35" s="3" t="s">
        <v>291</v>
      </c>
      <c r="Y35" s="40" t="s">
        <v>292</v>
      </c>
      <c r="Z35" s="3"/>
    </row>
    <row r="36" spans="1:30">
      <c r="A36" s="19">
        <v>11</v>
      </c>
      <c r="B36" s="105" t="s">
        <v>49</v>
      </c>
      <c r="C36" s="91" t="s">
        <v>50</v>
      </c>
      <c r="D36" s="23">
        <f t="shared" si="2"/>
        <v>1100</v>
      </c>
      <c r="E36" s="278">
        <v>300</v>
      </c>
      <c r="F36" s="277">
        <v>400</v>
      </c>
      <c r="G36" s="278">
        <v>400</v>
      </c>
      <c r="H36" s="172"/>
      <c r="I36" s="3"/>
      <c r="J36" s="3"/>
      <c r="K36" s="3"/>
      <c r="L36" s="3"/>
      <c r="M36" s="3"/>
      <c r="N36" s="40"/>
      <c r="O36" s="3" t="s">
        <v>290</v>
      </c>
      <c r="P36" s="40" t="s">
        <v>201</v>
      </c>
      <c r="Q36" s="3" t="s">
        <v>219</v>
      </c>
      <c r="R36" s="40" t="s">
        <v>182</v>
      </c>
      <c r="S36" s="40"/>
      <c r="T36" s="3" t="s">
        <v>182</v>
      </c>
      <c r="U36" s="40" t="s">
        <v>274</v>
      </c>
      <c r="V36" s="3" t="s">
        <v>274</v>
      </c>
      <c r="W36" s="40" t="s">
        <v>274</v>
      </c>
      <c r="X36" s="3" t="s">
        <v>293</v>
      </c>
      <c r="Y36" s="40" t="s">
        <v>294</v>
      </c>
      <c r="Z36" s="3"/>
      <c r="AA36" s="172" t="s">
        <v>295</v>
      </c>
      <c r="AB36" s="3" t="s">
        <v>268</v>
      </c>
      <c r="AC36" s="3" t="s">
        <v>157</v>
      </c>
      <c r="AD36" s="3" t="s">
        <v>269</v>
      </c>
    </row>
    <row r="37" spans="1:30">
      <c r="A37" s="19">
        <v>12</v>
      </c>
      <c r="B37" s="105" t="s">
        <v>51</v>
      </c>
      <c r="C37" s="91" t="s">
        <v>50</v>
      </c>
      <c r="D37" s="23">
        <f t="shared" si="2"/>
        <v>2300</v>
      </c>
      <c r="E37" s="278">
        <v>700</v>
      </c>
      <c r="F37" s="277">
        <v>800</v>
      </c>
      <c r="G37" s="278">
        <v>800</v>
      </c>
      <c r="H37" s="172"/>
      <c r="I37" s="3"/>
      <c r="J37" s="3"/>
      <c r="K37" s="3"/>
      <c r="L37" s="3"/>
      <c r="M37" s="3"/>
      <c r="N37" s="40"/>
      <c r="O37" s="3" t="s">
        <v>290</v>
      </c>
      <c r="P37" s="40" t="s">
        <v>201</v>
      </c>
      <c r="Q37" s="3" t="s">
        <v>219</v>
      </c>
      <c r="R37" s="40" t="s">
        <v>182</v>
      </c>
      <c r="S37" s="40"/>
      <c r="T37" s="3" t="s">
        <v>182</v>
      </c>
      <c r="U37" s="40" t="s">
        <v>274</v>
      </c>
      <c r="V37" s="3" t="s">
        <v>274</v>
      </c>
      <c r="W37" s="40" t="s">
        <v>274</v>
      </c>
      <c r="X37" s="3" t="s">
        <v>293</v>
      </c>
      <c r="Y37" s="40" t="s">
        <v>296</v>
      </c>
      <c r="Z37" s="3"/>
      <c r="AA37" s="172">
        <v>2500</v>
      </c>
      <c r="AB37" s="3">
        <v>5000</v>
      </c>
      <c r="AC37" s="3">
        <v>7000</v>
      </c>
      <c r="AD37" s="3">
        <v>9000</v>
      </c>
    </row>
    <row r="38" spans="1:30">
      <c r="A38" s="19">
        <v>13</v>
      </c>
      <c r="B38" s="105" t="s">
        <v>53</v>
      </c>
      <c r="C38" s="91" t="s">
        <v>50</v>
      </c>
      <c r="D38" s="23">
        <f t="shared" si="2"/>
        <v>0</v>
      </c>
      <c r="E38" s="278">
        <v>0</v>
      </c>
      <c r="F38" s="277">
        <v>0</v>
      </c>
      <c r="G38" s="278">
        <v>0</v>
      </c>
      <c r="H38" s="172"/>
      <c r="I38" s="3"/>
      <c r="J38" s="3"/>
      <c r="K38" s="3"/>
      <c r="L38" s="3"/>
      <c r="M38" s="3"/>
      <c r="N38" s="40"/>
      <c r="O38" s="240" t="s">
        <v>297</v>
      </c>
      <c r="P38" s="111" t="s">
        <v>201</v>
      </c>
      <c r="Q38" s="3" t="s">
        <v>219</v>
      </c>
      <c r="R38" s="40" t="s">
        <v>182</v>
      </c>
      <c r="S38" s="40"/>
      <c r="T38" s="3" t="s">
        <v>182</v>
      </c>
      <c r="U38" t="s">
        <v>298</v>
      </c>
      <c r="V38" s="3" t="s">
        <v>298</v>
      </c>
      <c r="W38" s="40" t="s">
        <v>298</v>
      </c>
      <c r="X38" s="3" t="s">
        <v>299</v>
      </c>
      <c r="Y38" s="40" t="s">
        <v>300</v>
      </c>
      <c r="Z38" s="3"/>
    </row>
    <row r="39" spans="1:30">
      <c r="A39" s="19">
        <v>14</v>
      </c>
      <c r="B39" s="105" t="s">
        <v>29</v>
      </c>
      <c r="C39" s="91" t="s">
        <v>50</v>
      </c>
      <c r="D39" s="23">
        <f t="shared" si="2"/>
        <v>1075</v>
      </c>
      <c r="E39" s="277">
        <v>275</v>
      </c>
      <c r="F39" s="277">
        <v>350</v>
      </c>
      <c r="G39" s="407">
        <v>450</v>
      </c>
      <c r="H39" s="172"/>
      <c r="I39" s="3"/>
      <c r="J39" s="3"/>
      <c r="K39" s="3"/>
      <c r="L39" s="3"/>
      <c r="M39" s="3"/>
      <c r="N39" s="40"/>
      <c r="O39" s="40" t="s">
        <v>301</v>
      </c>
      <c r="P39" s="3" t="s">
        <v>302</v>
      </c>
      <c r="Q39" s="172" t="s">
        <v>219</v>
      </c>
      <c r="R39" s="40" t="s">
        <v>182</v>
      </c>
      <c r="S39" s="40"/>
      <c r="T39" s="3" t="s">
        <v>182</v>
      </c>
      <c r="U39" t="s">
        <v>303</v>
      </c>
      <c r="V39" s="3" t="s">
        <v>303</v>
      </c>
      <c r="W39" s="40" t="s">
        <v>303</v>
      </c>
      <c r="X39" s="3" t="s">
        <v>304</v>
      </c>
      <c r="Y39" s="40" t="s">
        <v>305</v>
      </c>
      <c r="Z39" s="3"/>
    </row>
    <row r="40" spans="1:30">
      <c r="A40" s="19">
        <v>15</v>
      </c>
      <c r="B40" s="105" t="s">
        <v>22</v>
      </c>
      <c r="C40" s="91" t="s">
        <v>50</v>
      </c>
      <c r="D40" s="23">
        <f t="shared" si="2"/>
        <v>950</v>
      </c>
      <c r="E40" s="277">
        <v>400</v>
      </c>
      <c r="F40" s="277">
        <v>550</v>
      </c>
      <c r="G40" s="407">
        <v>0</v>
      </c>
      <c r="H40" s="172"/>
      <c r="I40" s="3"/>
      <c r="J40" s="3"/>
      <c r="K40" s="3"/>
      <c r="L40" s="3"/>
      <c r="M40" s="3"/>
      <c r="N40" s="40"/>
      <c r="O40" s="40" t="s">
        <v>301</v>
      </c>
      <c r="P40" s="3" t="s">
        <v>306</v>
      </c>
      <c r="Q40" s="172" t="s">
        <v>219</v>
      </c>
      <c r="R40" s="40" t="s">
        <v>182</v>
      </c>
      <c r="S40" s="40"/>
      <c r="T40" s="3" t="s">
        <v>182</v>
      </c>
      <c r="U40" t="s">
        <v>303</v>
      </c>
      <c r="V40" s="3" t="s">
        <v>303</v>
      </c>
      <c r="W40" s="40" t="s">
        <v>303</v>
      </c>
      <c r="X40" s="3" t="s">
        <v>304</v>
      </c>
      <c r="Y40" s="40" t="s">
        <v>305</v>
      </c>
      <c r="Z40" s="3"/>
    </row>
    <row r="41" spans="1:30">
      <c r="A41" s="19">
        <v>16</v>
      </c>
      <c r="B41" s="105" t="s">
        <v>121</v>
      </c>
      <c r="C41" s="91" t="s">
        <v>50</v>
      </c>
      <c r="D41" s="23">
        <f t="shared" si="2"/>
        <v>0</v>
      </c>
      <c r="E41" s="279">
        <v>0</v>
      </c>
      <c r="F41" s="279">
        <v>0</v>
      </c>
      <c r="G41" s="279">
        <v>0</v>
      </c>
      <c r="H41" s="172"/>
      <c r="I41" s="3"/>
      <c r="J41" s="3"/>
      <c r="K41" s="3"/>
      <c r="L41" s="3"/>
      <c r="M41" s="3"/>
      <c r="N41" s="40"/>
      <c r="O41" s="40" t="s">
        <v>307</v>
      </c>
      <c r="P41" s="3" t="s">
        <v>308</v>
      </c>
      <c r="Q41" s="172" t="s">
        <v>308</v>
      </c>
      <c r="R41" s="40" t="s">
        <v>182</v>
      </c>
      <c r="S41" s="40"/>
      <c r="T41" s="3" t="s">
        <v>182</v>
      </c>
      <c r="U41" t="s">
        <v>182</v>
      </c>
      <c r="V41" s="3" t="s">
        <v>182</v>
      </c>
      <c r="W41" s="40" t="s">
        <v>182</v>
      </c>
      <c r="X41" s="3" t="s">
        <v>248</v>
      </c>
      <c r="Y41" s="40" t="s">
        <v>248</v>
      </c>
      <c r="Z41" s="3"/>
    </row>
    <row r="42" spans="1:30">
      <c r="A42" s="19">
        <v>17</v>
      </c>
      <c r="B42" s="105" t="s">
        <v>72</v>
      </c>
      <c r="C42" s="91" t="s">
        <v>50</v>
      </c>
      <c r="D42" s="23">
        <f t="shared" si="2"/>
        <v>1500</v>
      </c>
      <c r="E42" s="278">
        <v>450</v>
      </c>
      <c r="F42" s="278">
        <v>450</v>
      </c>
      <c r="G42" s="407">
        <v>600</v>
      </c>
      <c r="H42" s="172"/>
      <c r="I42" s="3"/>
      <c r="J42" s="3"/>
      <c r="K42" s="3"/>
      <c r="L42" s="3"/>
      <c r="M42" s="3"/>
      <c r="N42" s="40"/>
      <c r="O42" s="40" t="s">
        <v>252</v>
      </c>
      <c r="P42" s="3" t="s">
        <v>271</v>
      </c>
      <c r="Q42" s="172" t="s">
        <v>309</v>
      </c>
      <c r="R42" s="40" t="s">
        <v>310</v>
      </c>
      <c r="S42" s="40"/>
      <c r="T42" s="3" t="s">
        <v>311</v>
      </c>
      <c r="U42" t="s">
        <v>312</v>
      </c>
      <c r="V42" s="3" t="s">
        <v>312</v>
      </c>
      <c r="W42" s="40" t="s">
        <v>312</v>
      </c>
      <c r="X42" s="3" t="s">
        <v>313</v>
      </c>
      <c r="Y42" s="40" t="s">
        <v>314</v>
      </c>
      <c r="Z42" s="3"/>
    </row>
    <row r="43" spans="1:30">
      <c r="A43" s="19">
        <v>18</v>
      </c>
      <c r="B43" s="105" t="s">
        <v>61</v>
      </c>
      <c r="C43" s="91" t="s">
        <v>50</v>
      </c>
      <c r="D43" s="23">
        <f t="shared" si="2"/>
        <v>1600</v>
      </c>
      <c r="E43" s="278">
        <v>800</v>
      </c>
      <c r="F43" s="278">
        <v>800</v>
      </c>
      <c r="G43" s="407">
        <v>0</v>
      </c>
      <c r="H43" s="172"/>
      <c r="I43" s="3"/>
      <c r="J43" s="3"/>
      <c r="K43" s="3"/>
      <c r="L43" s="3"/>
      <c r="M43" s="3"/>
      <c r="N43" s="40"/>
      <c r="O43" s="40" t="s">
        <v>252</v>
      </c>
      <c r="P43" s="3" t="s">
        <v>271</v>
      </c>
      <c r="Q43" s="172" t="s">
        <v>309</v>
      </c>
      <c r="R43" s="40" t="s">
        <v>310</v>
      </c>
      <c r="S43" s="40"/>
      <c r="T43" s="3" t="s">
        <v>311</v>
      </c>
      <c r="U43" t="s">
        <v>312</v>
      </c>
      <c r="V43" s="3" t="s">
        <v>312</v>
      </c>
      <c r="W43" s="111" t="s">
        <v>312</v>
      </c>
      <c r="X43" s="69" t="s">
        <v>313</v>
      </c>
      <c r="Y43" s="40" t="s">
        <v>314</v>
      </c>
      <c r="Z43" s="3"/>
    </row>
    <row r="44" spans="1:30">
      <c r="A44" s="19">
        <v>19</v>
      </c>
      <c r="B44" s="3" t="s">
        <v>315</v>
      </c>
      <c r="C44" s="91" t="s">
        <v>50</v>
      </c>
      <c r="D44" s="23">
        <f t="shared" ref="D44:D46" si="3">SUM(E44:G44)</f>
        <v>0</v>
      </c>
      <c r="E44" s="277">
        <v>0</v>
      </c>
      <c r="F44" s="277">
        <v>0</v>
      </c>
      <c r="G44" s="58">
        <v>0</v>
      </c>
      <c r="H44" s="172"/>
      <c r="I44" s="3"/>
      <c r="J44" s="3"/>
      <c r="K44" s="3"/>
      <c r="L44" s="3"/>
      <c r="M44" s="3"/>
      <c r="N44" s="3"/>
      <c r="O44" s="3"/>
      <c r="P44" s="3"/>
      <c r="Q44" s="3"/>
      <c r="R44" s="40"/>
      <c r="S44" s="40"/>
      <c r="T44" s="3"/>
      <c r="V44" s="40"/>
      <c r="W44" s="289"/>
      <c r="X44" s="174"/>
      <c r="Y44" s="397"/>
      <c r="Z44" s="389"/>
    </row>
    <row r="45" spans="1:30">
      <c r="A45" s="19">
        <v>20</v>
      </c>
      <c r="B45" s="3" t="s">
        <v>316</v>
      </c>
      <c r="C45" s="91" t="s">
        <v>50</v>
      </c>
      <c r="D45" s="23">
        <f t="shared" si="3"/>
        <v>0</v>
      </c>
      <c r="E45" s="277">
        <v>0</v>
      </c>
      <c r="F45" s="277">
        <v>0</v>
      </c>
      <c r="G45" s="58">
        <v>0</v>
      </c>
      <c r="H45" s="172"/>
      <c r="I45" s="3"/>
      <c r="J45" s="3"/>
      <c r="K45" s="3"/>
      <c r="L45" s="3"/>
      <c r="M45" s="3"/>
      <c r="N45" s="3"/>
      <c r="O45" s="3"/>
      <c r="P45" s="3"/>
      <c r="Q45" s="3"/>
      <c r="R45" s="40"/>
      <c r="S45" s="40"/>
      <c r="T45" s="3"/>
      <c r="V45" s="40"/>
      <c r="W45" s="289"/>
      <c r="X45" s="174"/>
      <c r="Y45" s="397"/>
      <c r="Z45" s="389"/>
    </row>
    <row r="46" spans="1:30">
      <c r="A46" s="19">
        <v>21</v>
      </c>
      <c r="B46" s="3" t="s">
        <v>317</v>
      </c>
      <c r="C46" s="90" t="s">
        <v>33</v>
      </c>
      <c r="D46" s="23">
        <f t="shared" si="3"/>
        <v>0</v>
      </c>
      <c r="E46" s="277">
        <v>0</v>
      </c>
      <c r="F46" s="277">
        <v>0</v>
      </c>
      <c r="G46" s="58">
        <v>0</v>
      </c>
      <c r="H46" s="172"/>
      <c r="I46" s="3"/>
      <c r="J46" s="3"/>
      <c r="K46" s="3"/>
      <c r="L46" s="3"/>
      <c r="M46" s="3"/>
      <c r="N46" s="3"/>
      <c r="O46" s="3"/>
      <c r="P46" s="3"/>
      <c r="Q46" s="3"/>
      <c r="R46" s="40"/>
      <c r="S46" s="40"/>
      <c r="T46" s="3"/>
      <c r="V46" s="40"/>
      <c r="W46" s="289"/>
      <c r="X46" s="174"/>
      <c r="Y46" s="289" t="s">
        <v>318</v>
      </c>
      <c r="Z46" s="3"/>
    </row>
    <row r="47" spans="1:30">
      <c r="B47" s="3"/>
      <c r="C47" s="3"/>
      <c r="D47" s="19"/>
      <c r="E47" s="19"/>
      <c r="F47" s="19"/>
      <c r="G47" s="3"/>
      <c r="H47" s="172"/>
      <c r="I47" s="3"/>
      <c r="J47" s="3"/>
      <c r="K47" s="3"/>
      <c r="L47" s="3"/>
      <c r="M47" s="3"/>
      <c r="N47" s="3"/>
      <c r="O47" s="3"/>
      <c r="P47" s="3"/>
      <c r="Q47" s="3"/>
      <c r="R47" s="40"/>
      <c r="S47" s="40"/>
      <c r="T47" s="3"/>
      <c r="V47" s="3"/>
      <c r="W47" s="289"/>
      <c r="X47" s="174"/>
      <c r="Y47" s="289"/>
      <c r="Z47" s="3"/>
    </row>
    <row r="48" spans="1:30">
      <c r="B48" s="3"/>
      <c r="C48" s="3" t="s">
        <v>147</v>
      </c>
      <c r="D48" s="3"/>
      <c r="E48" s="115">
        <f>SUM(E26:E46)</f>
        <v>6449</v>
      </c>
      <c r="F48" s="115">
        <f t="shared" ref="F48:G48" si="4">SUM(F26:F46)</f>
        <v>9670</v>
      </c>
      <c r="G48" s="115">
        <f t="shared" si="4"/>
        <v>12054</v>
      </c>
      <c r="H48" s="293">
        <f>SUM(H28:H43)</f>
        <v>0</v>
      </c>
      <c r="V48" s="3"/>
      <c r="W48" s="40"/>
      <c r="X48" s="3"/>
      <c r="Y48" s="40"/>
      <c r="Z48" s="3"/>
    </row>
    <row r="49" spans="1:26">
      <c r="B49" s="3"/>
      <c r="C49" s="3"/>
      <c r="D49" s="19"/>
      <c r="E49" s="19"/>
      <c r="F49" s="19"/>
      <c r="G49" s="3"/>
      <c r="V49" s="3"/>
      <c r="W49" s="40"/>
      <c r="X49" s="3"/>
      <c r="Y49" s="40"/>
      <c r="Z49" s="3"/>
    </row>
    <row r="50" spans="1:26">
      <c r="B50" s="3"/>
      <c r="C50" s="3"/>
      <c r="D50" s="19"/>
      <c r="E50" s="19"/>
      <c r="F50" s="19"/>
      <c r="G50" s="3"/>
      <c r="V50" s="3"/>
      <c r="W50" s="40"/>
      <c r="X50" s="3"/>
      <c r="Y50" s="40"/>
      <c r="Z50" s="3"/>
    </row>
    <row r="51" spans="1:26">
      <c r="B51" s="3"/>
      <c r="C51" s="3"/>
      <c r="D51" s="19"/>
      <c r="E51" s="19"/>
      <c r="F51" s="19"/>
      <c r="G51" s="3"/>
      <c r="V51" s="3"/>
      <c r="W51" s="40"/>
      <c r="X51" s="3"/>
      <c r="Y51" s="40"/>
      <c r="Z51" s="3"/>
    </row>
    <row r="52" spans="1:26">
      <c r="A52" s="19" t="s">
        <v>169</v>
      </c>
      <c r="B52" s="239" t="s">
        <v>126</v>
      </c>
      <c r="C52" s="239" t="s">
        <v>4</v>
      </c>
      <c r="D52" s="96" t="s">
        <v>319</v>
      </c>
      <c r="E52" s="96" t="s">
        <v>320</v>
      </c>
      <c r="F52" s="96" t="s">
        <v>321</v>
      </c>
      <c r="G52" s="96" t="s">
        <v>322</v>
      </c>
      <c r="V52" s="3"/>
      <c r="W52" s="40"/>
      <c r="X52" s="3"/>
      <c r="Y52" s="40"/>
      <c r="Z52" s="3"/>
    </row>
    <row r="53" spans="1:26">
      <c r="A53" s="19">
        <v>1</v>
      </c>
      <c r="B53" s="105" t="s">
        <v>84</v>
      </c>
      <c r="C53" s="91" t="s">
        <v>33</v>
      </c>
      <c r="D53" s="23">
        <f t="shared" ref="D53:D76" si="5">SUM(E53:G53)</f>
        <v>0</v>
      </c>
      <c r="E53" s="277">
        <v>0</v>
      </c>
      <c r="F53" s="277">
        <v>0</v>
      </c>
      <c r="G53" s="277">
        <v>0</v>
      </c>
      <c r="V53" s="3"/>
      <c r="W53" s="40"/>
      <c r="X53" s="3"/>
      <c r="Y53" s="40"/>
      <c r="Z53" s="3"/>
    </row>
    <row r="54" spans="1:26">
      <c r="A54" s="19">
        <v>2</v>
      </c>
      <c r="B54" s="105" t="s">
        <v>34</v>
      </c>
      <c r="C54" s="91" t="s">
        <v>33</v>
      </c>
      <c r="D54" s="23">
        <f t="shared" si="5"/>
        <v>0</v>
      </c>
      <c r="E54" s="277">
        <v>0</v>
      </c>
      <c r="F54" s="277">
        <v>0</v>
      </c>
      <c r="G54" s="277">
        <v>0</v>
      </c>
      <c r="V54" s="3"/>
      <c r="W54" s="40"/>
      <c r="X54" s="3"/>
      <c r="Y54" s="40"/>
      <c r="Z54" s="3"/>
    </row>
    <row r="55" spans="1:26">
      <c r="A55" s="19">
        <v>3</v>
      </c>
      <c r="B55" s="105" t="s">
        <v>36</v>
      </c>
      <c r="C55" s="91" t="s">
        <v>33</v>
      </c>
      <c r="D55" s="23">
        <f t="shared" si="5"/>
        <v>275</v>
      </c>
      <c r="E55" s="278">
        <f>200+75</f>
        <v>275</v>
      </c>
      <c r="F55" s="277">
        <v>0</v>
      </c>
      <c r="G55" s="277">
        <v>0</v>
      </c>
      <c r="V55" s="3"/>
      <c r="W55" s="40"/>
      <c r="X55" s="3"/>
      <c r="Y55" s="40"/>
      <c r="Z55" s="3"/>
    </row>
    <row r="56" spans="1:26">
      <c r="A56" s="19">
        <v>4</v>
      </c>
      <c r="B56" s="105" t="s">
        <v>37</v>
      </c>
      <c r="C56" s="91" t="s">
        <v>33</v>
      </c>
      <c r="D56" s="23">
        <f t="shared" si="5"/>
        <v>275</v>
      </c>
      <c r="E56" s="278">
        <f>200+75</f>
        <v>275</v>
      </c>
      <c r="F56" s="277">
        <v>0</v>
      </c>
      <c r="G56" s="277">
        <v>0</v>
      </c>
      <c r="V56" s="3"/>
      <c r="W56" s="40"/>
      <c r="X56" s="3"/>
      <c r="Y56" s="40"/>
      <c r="Z56" s="3"/>
    </row>
    <row r="57" spans="1:26">
      <c r="A57" s="19">
        <v>5</v>
      </c>
      <c r="B57" s="105" t="s">
        <v>39</v>
      </c>
      <c r="C57" s="91" t="s">
        <v>33</v>
      </c>
      <c r="D57" s="23">
        <f t="shared" si="5"/>
        <v>12000</v>
      </c>
      <c r="E57" s="278">
        <v>12000</v>
      </c>
      <c r="F57" s="277">
        <v>0</v>
      </c>
      <c r="G57" s="277">
        <v>0</v>
      </c>
      <c r="V57" s="3"/>
      <c r="W57" s="40"/>
      <c r="X57" s="3" t="s">
        <v>323</v>
      </c>
      <c r="Y57" s="40"/>
      <c r="Z57" s="3"/>
    </row>
    <row r="58" spans="1:26">
      <c r="A58" s="19">
        <v>6</v>
      </c>
      <c r="B58" s="105" t="s">
        <v>41</v>
      </c>
      <c r="C58" s="91" t="s">
        <v>33</v>
      </c>
      <c r="D58" s="23">
        <f t="shared" si="5"/>
        <v>0</v>
      </c>
      <c r="E58" s="277">
        <v>0</v>
      </c>
      <c r="F58" s="277">
        <v>0</v>
      </c>
      <c r="G58" s="277">
        <v>0</v>
      </c>
      <c r="V58" s="3"/>
      <c r="W58" s="40"/>
      <c r="X58" s="3"/>
      <c r="Y58" s="40"/>
      <c r="Z58" s="3"/>
    </row>
    <row r="59" spans="1:26">
      <c r="A59" s="19">
        <v>7</v>
      </c>
      <c r="B59" s="105" t="s">
        <v>42</v>
      </c>
      <c r="C59" s="91" t="s">
        <v>33</v>
      </c>
      <c r="D59" s="23">
        <f t="shared" si="5"/>
        <v>0</v>
      </c>
      <c r="E59" s="277">
        <v>0</v>
      </c>
      <c r="F59" s="277">
        <v>0</v>
      </c>
      <c r="G59" s="277">
        <v>0</v>
      </c>
      <c r="V59" s="3"/>
      <c r="W59" s="40"/>
      <c r="X59" s="3"/>
      <c r="Y59" s="40"/>
      <c r="Z59" s="3"/>
    </row>
    <row r="60" spans="1:26">
      <c r="A60" s="19">
        <v>8</v>
      </c>
      <c r="B60" s="105" t="s">
        <v>44</v>
      </c>
      <c r="C60" s="91" t="s">
        <v>33</v>
      </c>
      <c r="D60" s="23">
        <v>0</v>
      </c>
      <c r="E60" s="277">
        <v>0</v>
      </c>
      <c r="F60" s="277">
        <v>0</v>
      </c>
      <c r="G60" s="277">
        <v>0</v>
      </c>
      <c r="V60" s="3"/>
      <c r="W60" s="40"/>
      <c r="X60" s="3"/>
      <c r="Y60" s="40"/>
      <c r="Z60" s="3"/>
    </row>
    <row r="61" spans="1:26">
      <c r="A61" s="19">
        <v>9</v>
      </c>
      <c r="B61" s="105" t="s">
        <v>45</v>
      </c>
      <c r="C61" s="91" t="s">
        <v>33</v>
      </c>
      <c r="D61" s="23">
        <v>0</v>
      </c>
      <c r="E61" s="277">
        <v>0</v>
      </c>
      <c r="F61" s="277">
        <v>0</v>
      </c>
      <c r="G61" s="277">
        <v>0</v>
      </c>
      <c r="H61" s="292"/>
      <c r="I61" s="3"/>
      <c r="J61" s="3"/>
      <c r="K61" s="3"/>
      <c r="L61" s="3"/>
      <c r="M61" s="3"/>
      <c r="N61" s="40"/>
      <c r="O61" s="3"/>
      <c r="P61" s="3"/>
      <c r="V61" s="3"/>
      <c r="W61" s="40"/>
      <c r="X61" s="3"/>
      <c r="Y61" s="40"/>
      <c r="Z61" s="3"/>
    </row>
    <row r="62" spans="1:26">
      <c r="A62" s="19">
        <v>10</v>
      </c>
      <c r="B62" s="105" t="s">
        <v>47</v>
      </c>
      <c r="C62" s="91" t="s">
        <v>33</v>
      </c>
      <c r="D62" s="23">
        <f t="shared" si="5"/>
        <v>480</v>
      </c>
      <c r="E62" s="278">
        <f>160*3</f>
        <v>480</v>
      </c>
      <c r="F62" s="277">
        <v>0</v>
      </c>
      <c r="G62" s="277">
        <v>0</v>
      </c>
      <c r="V62" s="3"/>
      <c r="W62" s="40"/>
      <c r="X62" s="3"/>
      <c r="Y62" s="40"/>
      <c r="Z62" s="3"/>
    </row>
    <row r="63" spans="1:26">
      <c r="A63" s="19">
        <v>11</v>
      </c>
      <c r="B63" s="105" t="s">
        <v>49</v>
      </c>
      <c r="C63" s="91" t="s">
        <v>50</v>
      </c>
      <c r="D63" s="23">
        <f t="shared" si="5"/>
        <v>1200</v>
      </c>
      <c r="E63" s="278">
        <v>600</v>
      </c>
      <c r="F63" s="277">
        <v>600</v>
      </c>
      <c r="G63" s="277">
        <v>0</v>
      </c>
      <c r="V63" s="3"/>
      <c r="W63" s="40"/>
      <c r="X63" s="3"/>
      <c r="Y63" s="40"/>
      <c r="Z63" s="3"/>
    </row>
    <row r="64" spans="1:26">
      <c r="A64" s="19">
        <v>12</v>
      </c>
      <c r="B64" s="105" t="s">
        <v>51</v>
      </c>
      <c r="C64" s="91" t="s">
        <v>50</v>
      </c>
      <c r="D64" s="23">
        <f t="shared" si="5"/>
        <v>1200</v>
      </c>
      <c r="E64" s="278">
        <v>600</v>
      </c>
      <c r="F64" s="277">
        <v>600</v>
      </c>
      <c r="G64" s="277">
        <v>0</v>
      </c>
      <c r="V64" s="3"/>
      <c r="W64" s="40"/>
      <c r="X64" s="3"/>
      <c r="Y64" s="40"/>
      <c r="Z64" s="3"/>
    </row>
    <row r="65" spans="1:26">
      <c r="A65" s="19">
        <v>13</v>
      </c>
      <c r="B65" s="105" t="s">
        <v>53</v>
      </c>
      <c r="C65" s="91" t="s">
        <v>50</v>
      </c>
      <c r="D65" s="23">
        <f t="shared" si="5"/>
        <v>600</v>
      </c>
      <c r="E65" s="278">
        <v>600</v>
      </c>
      <c r="F65" s="277">
        <v>0</v>
      </c>
      <c r="G65" s="277">
        <v>0</v>
      </c>
      <c r="V65" s="3"/>
      <c r="W65" s="40"/>
      <c r="X65" s="3"/>
      <c r="Y65" s="40"/>
      <c r="Z65" s="3"/>
    </row>
    <row r="66" spans="1:26">
      <c r="A66" s="19">
        <v>14</v>
      </c>
      <c r="B66" s="105" t="s">
        <v>29</v>
      </c>
      <c r="C66" s="91" t="s">
        <v>50</v>
      </c>
      <c r="D66" s="23">
        <f t="shared" si="5"/>
        <v>450</v>
      </c>
      <c r="E66" s="277">
        <f>350+100</f>
        <v>450</v>
      </c>
      <c r="F66" s="277">
        <v>0</v>
      </c>
      <c r="G66" s="277">
        <v>0</v>
      </c>
      <c r="V66" s="3"/>
      <c r="W66" s="40"/>
      <c r="X66" s="3"/>
      <c r="Y66" s="40"/>
      <c r="Z66" s="3"/>
    </row>
    <row r="67" spans="1:26">
      <c r="A67" s="19">
        <v>15</v>
      </c>
      <c r="B67" s="105" t="s">
        <v>22</v>
      </c>
      <c r="C67" s="91" t="s">
        <v>50</v>
      </c>
      <c r="D67" s="23">
        <f t="shared" si="5"/>
        <v>650</v>
      </c>
      <c r="E67" s="277">
        <f>550+100</f>
        <v>650</v>
      </c>
      <c r="F67" s="277">
        <v>0</v>
      </c>
      <c r="G67" s="277">
        <v>0</v>
      </c>
      <c r="V67" s="3"/>
      <c r="W67" s="40"/>
      <c r="X67" s="3"/>
      <c r="Y67" s="40"/>
      <c r="Z67" s="3"/>
    </row>
    <row r="68" spans="1:26">
      <c r="A68" s="19">
        <v>16</v>
      </c>
      <c r="B68" s="105" t="s">
        <v>121</v>
      </c>
      <c r="C68" s="91" t="s">
        <v>50</v>
      </c>
      <c r="D68" s="23">
        <f t="shared" si="5"/>
        <v>0</v>
      </c>
      <c r="E68" s="279">
        <v>0</v>
      </c>
      <c r="F68" s="277">
        <v>0</v>
      </c>
      <c r="G68" s="277">
        <v>0</v>
      </c>
      <c r="V68" s="3"/>
      <c r="W68" s="40"/>
      <c r="X68" s="3" t="s">
        <v>248</v>
      </c>
      <c r="Y68" s="40"/>
      <c r="Z68" s="3"/>
    </row>
    <row r="69" spans="1:26">
      <c r="A69" s="19">
        <v>17</v>
      </c>
      <c r="B69" s="105" t="s">
        <v>72</v>
      </c>
      <c r="C69" s="91" t="s">
        <v>50</v>
      </c>
      <c r="D69" s="23">
        <f t="shared" si="5"/>
        <v>600</v>
      </c>
      <c r="E69" s="278">
        <f>300+300</f>
        <v>600</v>
      </c>
      <c r="F69" s="277">
        <v>0</v>
      </c>
      <c r="G69" s="277">
        <v>0</v>
      </c>
      <c r="V69" s="3"/>
      <c r="W69" s="40"/>
      <c r="X69" s="3"/>
      <c r="Y69" s="40"/>
      <c r="Z69" s="3"/>
    </row>
    <row r="70" spans="1:26">
      <c r="A70" s="19">
        <v>18</v>
      </c>
      <c r="B70" s="105" t="s">
        <v>61</v>
      </c>
      <c r="C70" s="91" t="s">
        <v>50</v>
      </c>
      <c r="D70" s="23">
        <f t="shared" si="5"/>
        <v>1000</v>
      </c>
      <c r="E70" s="278">
        <f>600+400</f>
        <v>1000</v>
      </c>
      <c r="F70" s="277">
        <v>0</v>
      </c>
      <c r="G70" s="277">
        <v>0</v>
      </c>
      <c r="V70" s="3"/>
      <c r="W70" s="40"/>
      <c r="X70" s="3"/>
      <c r="Y70" s="40"/>
      <c r="Z70" s="3"/>
    </row>
    <row r="71" spans="1:26">
      <c r="A71" s="19">
        <v>19</v>
      </c>
      <c r="B71" s="290" t="s">
        <v>256</v>
      </c>
      <c r="C71" s="90" t="s">
        <v>33</v>
      </c>
      <c r="D71" s="23">
        <f t="shared" si="5"/>
        <v>200</v>
      </c>
      <c r="E71" s="277">
        <v>200</v>
      </c>
      <c r="F71" s="277">
        <v>0</v>
      </c>
      <c r="G71" s="277">
        <v>0</v>
      </c>
      <c r="V71" s="3"/>
      <c r="W71" s="40"/>
      <c r="X71" s="3"/>
      <c r="Y71" s="40"/>
      <c r="Z71" s="3"/>
    </row>
    <row r="72" spans="1:26">
      <c r="A72" s="19">
        <v>20</v>
      </c>
      <c r="B72" s="91" t="s">
        <v>263</v>
      </c>
      <c r="C72" s="90" t="s">
        <v>33</v>
      </c>
      <c r="D72" s="23">
        <f t="shared" si="5"/>
        <v>200</v>
      </c>
      <c r="E72" s="277">
        <v>200</v>
      </c>
      <c r="F72" s="277">
        <v>0</v>
      </c>
      <c r="G72" s="277">
        <v>0</v>
      </c>
      <c r="V72" s="3"/>
      <c r="W72" s="40"/>
      <c r="X72" s="3"/>
      <c r="Y72" s="40"/>
      <c r="Z72" s="3"/>
    </row>
    <row r="73" spans="1:26">
      <c r="A73" s="19">
        <v>21</v>
      </c>
      <c r="B73" s="3" t="s">
        <v>324</v>
      </c>
      <c r="C73" s="90" t="s">
        <v>33</v>
      </c>
      <c r="D73" s="23">
        <f t="shared" si="5"/>
        <v>100</v>
      </c>
      <c r="E73" s="277">
        <v>100</v>
      </c>
      <c r="F73" s="277">
        <v>0</v>
      </c>
      <c r="G73" s="277">
        <v>0</v>
      </c>
      <c r="V73" s="3"/>
      <c r="W73" s="40"/>
      <c r="X73" s="3"/>
      <c r="Y73" s="40" t="s">
        <v>325</v>
      </c>
      <c r="Z73" s="3"/>
    </row>
    <row r="74" spans="1:26">
      <c r="A74" s="19">
        <v>22</v>
      </c>
      <c r="B74" s="3" t="s">
        <v>326</v>
      </c>
      <c r="C74" s="90" t="s">
        <v>33</v>
      </c>
      <c r="D74" s="23">
        <f t="shared" si="5"/>
        <v>100</v>
      </c>
      <c r="E74" s="277">
        <v>100</v>
      </c>
      <c r="F74" s="277">
        <v>0</v>
      </c>
      <c r="G74" s="277">
        <v>0</v>
      </c>
      <c r="V74" s="3"/>
      <c r="W74" s="40"/>
      <c r="X74" s="3"/>
      <c r="Y74" s="40" t="s">
        <v>325</v>
      </c>
      <c r="Z74" s="3"/>
    </row>
    <row r="75" spans="1:26">
      <c r="A75" s="19">
        <v>23</v>
      </c>
      <c r="B75" s="3" t="s">
        <v>315</v>
      </c>
      <c r="C75" s="3" t="s">
        <v>50</v>
      </c>
      <c r="D75" s="23">
        <f t="shared" si="5"/>
        <v>150</v>
      </c>
      <c r="E75" s="19">
        <v>150</v>
      </c>
      <c r="F75" s="19"/>
      <c r="G75" s="3"/>
      <c r="V75" s="3"/>
      <c r="W75" s="40"/>
      <c r="X75" s="3"/>
      <c r="Y75" s="40"/>
      <c r="Z75" s="3"/>
    </row>
    <row r="76" spans="1:26">
      <c r="A76" s="19">
        <v>24</v>
      </c>
      <c r="B76" s="3" t="s">
        <v>316</v>
      </c>
      <c r="C76" s="3" t="s">
        <v>50</v>
      </c>
      <c r="D76" s="23">
        <f t="shared" si="5"/>
        <v>150</v>
      </c>
      <c r="E76" s="19">
        <v>150</v>
      </c>
      <c r="F76" s="19"/>
      <c r="G76" s="3"/>
      <c r="V76" s="3"/>
      <c r="W76" s="40"/>
      <c r="X76" s="3"/>
      <c r="Y76" s="40"/>
      <c r="Z76" s="3"/>
    </row>
    <row r="77" spans="1:26">
      <c r="A77" s="19">
        <v>25</v>
      </c>
      <c r="B77" s="3" t="s">
        <v>317</v>
      </c>
      <c r="C77" s="3" t="s">
        <v>33</v>
      </c>
      <c r="D77" s="23"/>
      <c r="E77" s="19"/>
      <c r="F77" s="19"/>
      <c r="G77" s="3"/>
      <c r="V77" s="3"/>
      <c r="W77" s="40"/>
      <c r="X77" s="3"/>
      <c r="Y77" s="40"/>
      <c r="Z77" s="3"/>
    </row>
    <row r="78" spans="1:26">
      <c r="B78" s="3"/>
      <c r="C78" s="3" t="s">
        <v>147</v>
      </c>
      <c r="D78" s="3"/>
      <c r="E78" s="115">
        <f>SUM(E53:E76)</f>
        <v>18430</v>
      </c>
      <c r="F78" s="115">
        <f t="shared" ref="F78:G78" si="6">SUM(F53:F76)</f>
        <v>1200</v>
      </c>
      <c r="G78" s="115">
        <f t="shared" si="6"/>
        <v>0</v>
      </c>
      <c r="V78" s="3"/>
      <c r="W78" s="40"/>
      <c r="X78" s="3"/>
      <c r="Y78" s="40"/>
      <c r="Z78" s="3"/>
    </row>
    <row r="79" spans="1:26">
      <c r="A79" s="174"/>
    </row>
  </sheetData>
  <autoFilter ref="A1:AD1" xr:uid="{F2A54D5F-FACF-4CB5-8887-CFEE0762150B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81B3F-0F2A-4A8F-B4C3-F5B950C517C0}">
  <dimension ref="A1:X6"/>
  <sheetViews>
    <sheetView workbookViewId="0">
      <selection activeCell="H12" sqref="H12"/>
    </sheetView>
  </sheetViews>
  <sheetFormatPr defaultColWidth="8.85546875" defaultRowHeight="15"/>
  <cols>
    <col min="1" max="1" width="19.28515625" customWidth="1"/>
  </cols>
  <sheetData>
    <row r="1" spans="1:24">
      <c r="A1" s="199" t="s">
        <v>327</v>
      </c>
      <c r="B1" s="260" t="s">
        <v>328</v>
      </c>
      <c r="C1" s="199"/>
      <c r="D1" s="199" t="s">
        <v>33</v>
      </c>
      <c r="E1" s="246" t="s">
        <v>24</v>
      </c>
      <c r="F1" s="198">
        <f>210+600-110</f>
        <v>700</v>
      </c>
      <c r="G1" s="198">
        <v>700</v>
      </c>
      <c r="H1" s="246">
        <f>F1-G1</f>
        <v>0</v>
      </c>
      <c r="I1" s="19"/>
      <c r="J1" s="19"/>
      <c r="K1" s="19"/>
      <c r="L1" s="19"/>
      <c r="M1" s="225"/>
      <c r="N1" s="19"/>
      <c r="O1" s="19"/>
      <c r="P1" s="19"/>
      <c r="Q1" s="19"/>
      <c r="R1" s="19"/>
      <c r="S1" s="19"/>
      <c r="T1" s="3"/>
      <c r="U1" s="266"/>
      <c r="V1" s="3"/>
      <c r="W1" s="3"/>
      <c r="X1" s="3"/>
    </row>
    <row r="2" spans="1:24">
      <c r="A2" s="199" t="s">
        <v>329</v>
      </c>
      <c r="B2" s="260" t="s">
        <v>330</v>
      </c>
      <c r="C2" s="199"/>
      <c r="D2" s="199" t="s">
        <v>33</v>
      </c>
      <c r="E2" s="246" t="s">
        <v>24</v>
      </c>
      <c r="F2" s="198">
        <v>493</v>
      </c>
      <c r="G2" s="198">
        <v>493</v>
      </c>
      <c r="H2" s="246">
        <f>F2-G2</f>
        <v>0</v>
      </c>
      <c r="I2" s="19"/>
      <c r="J2" s="19"/>
      <c r="K2" s="19"/>
      <c r="L2" s="19"/>
      <c r="M2" s="225"/>
      <c r="N2" s="19"/>
      <c r="O2" s="19"/>
      <c r="P2" s="19"/>
      <c r="Q2" s="19"/>
      <c r="R2" s="19"/>
      <c r="S2" s="19"/>
      <c r="T2" s="3"/>
      <c r="U2" s="266"/>
      <c r="V2" s="3"/>
      <c r="W2" s="3"/>
      <c r="X2" s="3"/>
    </row>
    <row r="3" spans="1:24">
      <c r="A3" s="199" t="s">
        <v>327</v>
      </c>
      <c r="B3" s="260" t="s">
        <v>331</v>
      </c>
      <c r="C3" s="199"/>
      <c r="D3" s="199" t="s">
        <v>33</v>
      </c>
      <c r="E3" s="246" t="s">
        <v>24</v>
      </c>
      <c r="F3" s="198">
        <v>600</v>
      </c>
      <c r="G3" s="198">
        <v>600</v>
      </c>
      <c r="H3" s="246">
        <f>F3-G3</f>
        <v>0</v>
      </c>
      <c r="I3" s="19"/>
      <c r="J3" s="19"/>
      <c r="K3" s="19"/>
      <c r="L3" s="19"/>
      <c r="M3" s="225"/>
      <c r="N3" s="19"/>
      <c r="O3" s="19"/>
      <c r="P3" s="19"/>
      <c r="Q3" s="19"/>
      <c r="R3" s="19"/>
      <c r="S3" s="19"/>
      <c r="T3" s="3"/>
      <c r="U3" s="266"/>
      <c r="V3" s="3"/>
      <c r="W3" s="3"/>
      <c r="X3" s="3"/>
    </row>
    <row r="4" spans="1:24">
      <c r="A4" s="199" t="s">
        <v>332</v>
      </c>
      <c r="B4" s="260" t="s">
        <v>333</v>
      </c>
      <c r="C4" s="199"/>
      <c r="D4" s="199" t="s">
        <v>33</v>
      </c>
      <c r="E4" s="246" t="s">
        <v>24</v>
      </c>
      <c r="F4" s="198">
        <v>1692</v>
      </c>
      <c r="G4" s="198">
        <v>1692</v>
      </c>
      <c r="H4" s="246">
        <f>F4-G4</f>
        <v>0</v>
      </c>
      <c r="I4" s="19"/>
      <c r="J4" s="19"/>
      <c r="K4" s="19"/>
      <c r="L4" s="19"/>
      <c r="M4" s="225"/>
      <c r="N4" s="19"/>
      <c r="O4" s="19"/>
      <c r="P4" s="19"/>
      <c r="Q4" s="19"/>
      <c r="R4" s="19"/>
      <c r="S4" s="19"/>
      <c r="T4" s="3"/>
      <c r="U4" s="266"/>
      <c r="V4" s="3"/>
      <c r="W4" s="3"/>
      <c r="X4" s="3"/>
    </row>
    <row r="5" spans="1:24">
      <c r="A5" s="191" t="s">
        <v>334</v>
      </c>
      <c r="B5" s="191" t="s">
        <v>72</v>
      </c>
      <c r="C5" s="192">
        <v>60</v>
      </c>
      <c r="D5" s="193" t="s">
        <v>23</v>
      </c>
      <c r="E5" s="247" t="s">
        <v>30</v>
      </c>
      <c r="F5" s="183">
        <v>250</v>
      </c>
      <c r="G5" s="183">
        <v>250</v>
      </c>
      <c r="H5" s="183">
        <f>F5-G5</f>
        <v>0</v>
      </c>
      <c r="I5" s="64">
        <v>45859</v>
      </c>
      <c r="J5" s="64">
        <v>45869</v>
      </c>
      <c r="K5" s="19" t="s">
        <v>334</v>
      </c>
      <c r="L5" s="64">
        <v>45870</v>
      </c>
      <c r="M5" s="241">
        <v>45901</v>
      </c>
      <c r="N5" s="150"/>
      <c r="O5" s="19"/>
      <c r="P5" s="64">
        <f>M5+C5+15</f>
        <v>45976</v>
      </c>
      <c r="Q5" s="64">
        <f>P5+10</f>
        <v>45986</v>
      </c>
      <c r="R5" s="64">
        <f>Q5+7</f>
        <v>45993</v>
      </c>
      <c r="S5" s="64">
        <f>R5+1</f>
        <v>45994</v>
      </c>
      <c r="T5" s="19">
        <f>S5-I5-1</f>
        <v>134</v>
      </c>
      <c r="U5" s="258" t="s">
        <v>101</v>
      </c>
      <c r="V5" s="3"/>
      <c r="W5" s="3"/>
      <c r="X5" s="3"/>
    </row>
    <row r="6" spans="1:24">
      <c r="A6" s="191" t="s">
        <v>334</v>
      </c>
      <c r="B6" s="191" t="s">
        <v>61</v>
      </c>
      <c r="C6" s="183">
        <v>60</v>
      </c>
      <c r="D6" s="193" t="s">
        <v>23</v>
      </c>
      <c r="E6" s="247" t="s">
        <v>30</v>
      </c>
      <c r="F6" s="183">
        <v>250</v>
      </c>
      <c r="G6" s="183">
        <v>250</v>
      </c>
      <c r="H6" s="183">
        <f>F6-G6</f>
        <v>0</v>
      </c>
      <c r="I6" s="64">
        <v>45859</v>
      </c>
      <c r="J6" s="64">
        <v>45869</v>
      </c>
      <c r="K6" s="19" t="s">
        <v>334</v>
      </c>
      <c r="L6" s="64">
        <v>45870</v>
      </c>
      <c r="M6" s="241">
        <v>45901</v>
      </c>
      <c r="N6" s="150"/>
      <c r="O6" s="19"/>
      <c r="P6" s="64">
        <f>M6+C6+15</f>
        <v>45976</v>
      </c>
      <c r="Q6" s="64">
        <f>P6+10</f>
        <v>45986</v>
      </c>
      <c r="R6" s="64">
        <f>Q6+7</f>
        <v>45993</v>
      </c>
      <c r="S6" s="64">
        <f>R6+1</f>
        <v>45994</v>
      </c>
      <c r="T6" s="19">
        <f>S6-I6-1</f>
        <v>134</v>
      </c>
      <c r="U6" s="258" t="s">
        <v>101</v>
      </c>
      <c r="V6" s="3"/>
      <c r="W6" s="3"/>
      <c r="X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4426-38E9-45E8-9CAF-24998FC53D5E}">
  <dimension ref="C4:W26"/>
  <sheetViews>
    <sheetView topLeftCell="A2" workbookViewId="0">
      <selection activeCell="J9" sqref="J9"/>
    </sheetView>
  </sheetViews>
  <sheetFormatPr defaultColWidth="8.85546875" defaultRowHeight="15"/>
  <cols>
    <col min="3" max="3" width="12" bestFit="1" customWidth="1"/>
    <col min="5" max="5" width="11" bestFit="1" customWidth="1"/>
    <col min="7" max="7" width="11" bestFit="1" customWidth="1"/>
    <col min="9" max="9" width="11" bestFit="1" customWidth="1"/>
  </cols>
  <sheetData>
    <row r="4" spans="3:23" ht="15.95">
      <c r="C4" s="97"/>
      <c r="D4" s="409" t="s">
        <v>335</v>
      </c>
      <c r="E4" s="410"/>
      <c r="F4" s="410"/>
      <c r="G4" s="410"/>
      <c r="H4" s="410"/>
      <c r="I4" s="410"/>
      <c r="J4" s="410"/>
      <c r="K4" s="410"/>
      <c r="L4" s="411"/>
      <c r="P4" s="6" t="s">
        <v>126</v>
      </c>
      <c r="Q4" s="7" t="s">
        <v>336</v>
      </c>
      <c r="R4" s="8" t="s">
        <v>337</v>
      </c>
      <c r="S4" s="8" t="s">
        <v>338</v>
      </c>
      <c r="T4" s="8" t="s">
        <v>339</v>
      </c>
      <c r="U4" s="8" t="s">
        <v>338</v>
      </c>
      <c r="V4" s="98"/>
      <c r="W4" s="98"/>
    </row>
    <row r="5" spans="3:23" ht="15.95">
      <c r="C5" s="99" t="s">
        <v>340</v>
      </c>
      <c r="D5" s="412"/>
      <c r="E5" s="413"/>
      <c r="F5" s="413"/>
      <c r="G5" s="413"/>
      <c r="H5" s="413"/>
      <c r="I5" s="413"/>
      <c r="J5" s="413"/>
      <c r="K5" s="413"/>
      <c r="L5" s="414"/>
      <c r="P5" s="9" t="s">
        <v>341</v>
      </c>
      <c r="Q5" s="10" t="s">
        <v>342</v>
      </c>
      <c r="R5" s="11">
        <v>30</v>
      </c>
      <c r="S5" s="17">
        <v>30</v>
      </c>
      <c r="T5" s="11">
        <v>30</v>
      </c>
      <c r="U5" s="100"/>
      <c r="V5" s="100"/>
      <c r="W5" s="4"/>
    </row>
    <row r="6" spans="3:23" ht="15.95">
      <c r="C6" s="101" t="s">
        <v>126</v>
      </c>
      <c r="D6" s="101" t="s">
        <v>111</v>
      </c>
      <c r="E6" s="102" t="s">
        <v>343</v>
      </c>
      <c r="F6" s="101" t="s">
        <v>344</v>
      </c>
      <c r="G6" s="102" t="s">
        <v>343</v>
      </c>
      <c r="H6" s="101" t="s">
        <v>345</v>
      </c>
      <c r="I6" s="102" t="s">
        <v>343</v>
      </c>
      <c r="J6" s="101" t="s">
        <v>148</v>
      </c>
      <c r="K6" s="101" t="s">
        <v>346</v>
      </c>
      <c r="L6" s="101" t="s">
        <v>139</v>
      </c>
      <c r="P6" s="9" t="s">
        <v>341</v>
      </c>
      <c r="Q6" s="10" t="s">
        <v>347</v>
      </c>
      <c r="R6" s="11">
        <v>30</v>
      </c>
      <c r="S6" s="17">
        <v>30</v>
      </c>
      <c r="T6" s="11">
        <v>30</v>
      </c>
      <c r="U6" s="100"/>
      <c r="V6" s="100"/>
      <c r="W6" s="4"/>
    </row>
    <row r="7" spans="3:23" ht="15.95">
      <c r="C7" s="91" t="s">
        <v>348</v>
      </c>
      <c r="D7" s="91">
        <v>10</v>
      </c>
      <c r="E7" s="91">
        <f>D7</f>
        <v>10</v>
      </c>
      <c r="F7" s="91">
        <v>25</v>
      </c>
      <c r="G7" s="91">
        <v>30</v>
      </c>
      <c r="H7" s="91">
        <v>40</v>
      </c>
      <c r="I7" s="91"/>
      <c r="J7" s="91">
        <v>25</v>
      </c>
      <c r="K7" s="91">
        <v>25</v>
      </c>
      <c r="L7" s="91">
        <v>25</v>
      </c>
      <c r="P7" s="9" t="s">
        <v>47</v>
      </c>
      <c r="Q7" s="10" t="s">
        <v>347</v>
      </c>
      <c r="R7" s="11">
        <v>60</v>
      </c>
      <c r="S7" s="17"/>
      <c r="T7" s="11">
        <v>60</v>
      </c>
      <c r="U7" s="100"/>
      <c r="V7" s="100"/>
      <c r="W7" s="4"/>
    </row>
    <row r="8" spans="3:23" ht="15.95">
      <c r="C8" s="91" t="s">
        <v>349</v>
      </c>
      <c r="D8" s="91">
        <v>30</v>
      </c>
      <c r="E8" s="91">
        <f>D8</f>
        <v>30</v>
      </c>
      <c r="F8" s="91">
        <v>40</v>
      </c>
      <c r="G8" s="91">
        <v>50</v>
      </c>
      <c r="H8" s="91">
        <v>60</v>
      </c>
      <c r="I8" s="91"/>
      <c r="J8" s="91">
        <v>35</v>
      </c>
      <c r="K8" s="91">
        <v>35</v>
      </c>
      <c r="L8" s="91">
        <v>35</v>
      </c>
      <c r="P8" s="12" t="s">
        <v>350</v>
      </c>
      <c r="Q8" s="13" t="s">
        <v>351</v>
      </c>
      <c r="R8" s="11">
        <v>30</v>
      </c>
      <c r="S8" s="18">
        <v>10</v>
      </c>
      <c r="T8" s="11">
        <v>30</v>
      </c>
      <c r="U8" s="103"/>
      <c r="V8" s="103"/>
      <c r="W8" s="4"/>
    </row>
    <row r="9" spans="3:23" ht="15.95">
      <c r="C9" s="91" t="s">
        <v>352</v>
      </c>
      <c r="D9" s="91">
        <v>15</v>
      </c>
      <c r="E9" s="91">
        <v>10</v>
      </c>
      <c r="F9" s="91">
        <v>15</v>
      </c>
      <c r="G9" s="91">
        <f t="shared" ref="G9:G10" si="0">F9</f>
        <v>15</v>
      </c>
      <c r="H9" s="91">
        <v>15</v>
      </c>
      <c r="I9" s="91"/>
      <c r="J9" s="91">
        <v>15</v>
      </c>
      <c r="K9" s="91">
        <v>15</v>
      </c>
      <c r="L9" s="91">
        <v>15</v>
      </c>
      <c r="P9" s="9" t="s">
        <v>353</v>
      </c>
      <c r="Q9" s="10" t="s">
        <v>354</v>
      </c>
      <c r="R9" s="11">
        <v>30</v>
      </c>
      <c r="S9" s="17">
        <v>30</v>
      </c>
      <c r="T9" s="11">
        <v>30</v>
      </c>
      <c r="U9" s="100"/>
      <c r="V9" s="100"/>
      <c r="W9" s="4"/>
    </row>
    <row r="10" spans="3:23" ht="15.95">
      <c r="C10" s="91" t="s">
        <v>355</v>
      </c>
      <c r="D10" s="91">
        <v>20</v>
      </c>
      <c r="E10" s="91">
        <v>10</v>
      </c>
      <c r="F10" s="91">
        <v>30</v>
      </c>
      <c r="G10" s="91">
        <f t="shared" si="0"/>
        <v>30</v>
      </c>
      <c r="H10" s="91">
        <v>30</v>
      </c>
      <c r="I10" s="91"/>
      <c r="J10" s="91">
        <v>20</v>
      </c>
      <c r="K10" s="91">
        <v>20</v>
      </c>
      <c r="L10" s="91">
        <v>20</v>
      </c>
      <c r="P10" s="9" t="s">
        <v>353</v>
      </c>
      <c r="Q10" s="10" t="s">
        <v>351</v>
      </c>
      <c r="R10" s="11">
        <v>60</v>
      </c>
      <c r="S10" s="17">
        <v>30</v>
      </c>
      <c r="T10" s="11">
        <v>60</v>
      </c>
      <c r="U10" s="100"/>
      <c r="V10" s="100"/>
      <c r="W10" s="4"/>
    </row>
    <row r="11" spans="3:23" ht="15.95">
      <c r="C11" s="91" t="s">
        <v>47</v>
      </c>
      <c r="D11" s="91">
        <v>40</v>
      </c>
      <c r="E11" s="104">
        <v>20</v>
      </c>
      <c r="F11" s="91">
        <v>50</v>
      </c>
      <c r="G11" s="104">
        <v>0</v>
      </c>
      <c r="H11" s="91">
        <v>70</v>
      </c>
      <c r="I11" s="91">
        <v>100</v>
      </c>
      <c r="J11" s="91">
        <v>50</v>
      </c>
      <c r="K11" s="91">
        <v>50</v>
      </c>
      <c r="L11" s="91">
        <v>50</v>
      </c>
      <c r="P11" s="9" t="s">
        <v>356</v>
      </c>
      <c r="Q11" s="10" t="s">
        <v>342</v>
      </c>
      <c r="R11" s="11" t="s">
        <v>357</v>
      </c>
      <c r="S11" s="11">
        <v>20</v>
      </c>
      <c r="T11" s="11" t="s">
        <v>357</v>
      </c>
      <c r="U11" s="4"/>
      <c r="V11" s="4"/>
      <c r="W11" s="4"/>
    </row>
    <row r="12" spans="3:23" ht="15.95">
      <c r="C12" s="91" t="s">
        <v>350</v>
      </c>
      <c r="D12" s="91">
        <v>50</v>
      </c>
      <c r="E12" s="104">
        <v>0</v>
      </c>
      <c r="F12" s="91">
        <v>50</v>
      </c>
      <c r="G12" s="104">
        <v>25</v>
      </c>
      <c r="H12" s="91">
        <v>35</v>
      </c>
      <c r="I12" s="91">
        <v>50</v>
      </c>
      <c r="J12" s="91">
        <v>20</v>
      </c>
      <c r="K12" s="91">
        <v>20</v>
      </c>
      <c r="L12" s="91">
        <v>20</v>
      </c>
      <c r="P12" s="9" t="s">
        <v>356</v>
      </c>
      <c r="Q12" s="10" t="s">
        <v>347</v>
      </c>
      <c r="R12" s="11" t="s">
        <v>357</v>
      </c>
      <c r="S12" s="11">
        <v>20</v>
      </c>
      <c r="T12" s="11" t="s">
        <v>357</v>
      </c>
      <c r="U12" s="4"/>
      <c r="V12" s="4"/>
      <c r="W12" s="4"/>
    </row>
    <row r="13" spans="3:23" ht="15.95">
      <c r="C13" s="91" t="s">
        <v>358</v>
      </c>
      <c r="D13" s="91">
        <v>50</v>
      </c>
      <c r="E13" s="91">
        <v>0</v>
      </c>
      <c r="F13" s="91">
        <v>100</v>
      </c>
      <c r="G13" s="91">
        <v>150</v>
      </c>
      <c r="H13" s="91">
        <v>150</v>
      </c>
      <c r="I13" s="91"/>
      <c r="J13" s="91">
        <v>50</v>
      </c>
      <c r="K13" s="91">
        <v>50</v>
      </c>
      <c r="L13" s="91">
        <v>50</v>
      </c>
      <c r="P13" s="14" t="s">
        <v>359</v>
      </c>
      <c r="Q13" s="15" t="s">
        <v>342</v>
      </c>
      <c r="R13" s="11">
        <v>20</v>
      </c>
      <c r="S13" s="11">
        <v>10</v>
      </c>
      <c r="T13" s="11">
        <v>0</v>
      </c>
      <c r="U13" s="5"/>
      <c r="V13" s="5"/>
      <c r="W13" s="5"/>
    </row>
    <row r="14" spans="3:23" ht="15.95">
      <c r="C14" s="91" t="s">
        <v>360</v>
      </c>
      <c r="D14" s="91">
        <v>5</v>
      </c>
      <c r="E14" s="91">
        <v>5</v>
      </c>
      <c r="F14" s="91">
        <v>10</v>
      </c>
      <c r="G14" s="91">
        <v>50</v>
      </c>
      <c r="H14" s="91">
        <v>150</v>
      </c>
      <c r="I14" s="91"/>
      <c r="J14" s="91">
        <v>100</v>
      </c>
      <c r="K14" s="91">
        <v>150</v>
      </c>
      <c r="L14" s="91">
        <v>150</v>
      </c>
      <c r="P14" s="14" t="s">
        <v>359</v>
      </c>
      <c r="Q14" s="15" t="s">
        <v>347</v>
      </c>
      <c r="R14" s="11">
        <v>20</v>
      </c>
      <c r="S14" s="11">
        <v>10</v>
      </c>
      <c r="T14" s="11">
        <v>0</v>
      </c>
      <c r="U14" s="5"/>
      <c r="V14" s="5"/>
      <c r="W14" s="5"/>
    </row>
    <row r="15" spans="3:23" ht="15.95">
      <c r="C15" s="91" t="s">
        <v>361</v>
      </c>
      <c r="D15" s="91">
        <v>5</v>
      </c>
      <c r="E15" s="91">
        <v>5</v>
      </c>
      <c r="F15" s="91">
        <v>5</v>
      </c>
      <c r="G15" s="91">
        <v>5</v>
      </c>
      <c r="H15" s="91">
        <v>70</v>
      </c>
      <c r="I15" s="91"/>
      <c r="J15" s="91">
        <v>70</v>
      </c>
      <c r="K15" s="91">
        <v>70</v>
      </c>
      <c r="L15" s="91">
        <v>70</v>
      </c>
      <c r="P15" s="12" t="s">
        <v>39</v>
      </c>
      <c r="Q15" s="16" t="s">
        <v>357</v>
      </c>
      <c r="R15" s="11">
        <v>60</v>
      </c>
      <c r="S15" s="11">
        <v>0</v>
      </c>
      <c r="T15" s="11">
        <v>90</v>
      </c>
      <c r="U15" s="103"/>
      <c r="V15" s="103"/>
      <c r="W15" s="4"/>
    </row>
    <row r="16" spans="3:23" ht="15.95">
      <c r="C16" s="91" t="s">
        <v>362</v>
      </c>
      <c r="D16" s="91" t="s">
        <v>357</v>
      </c>
      <c r="E16" s="91">
        <v>100</v>
      </c>
      <c r="F16" s="3"/>
      <c r="G16" s="91">
        <v>0</v>
      </c>
      <c r="H16" s="91">
        <v>30</v>
      </c>
      <c r="I16" s="91"/>
      <c r="J16" s="91">
        <v>30</v>
      </c>
      <c r="K16" s="91">
        <v>30</v>
      </c>
      <c r="L16" s="91">
        <v>30</v>
      </c>
      <c r="P16" s="9" t="s">
        <v>363</v>
      </c>
      <c r="Q16" s="10" t="s">
        <v>354</v>
      </c>
      <c r="R16" s="11" t="s">
        <v>357</v>
      </c>
      <c r="S16" s="11">
        <v>25</v>
      </c>
      <c r="T16" s="11" t="s">
        <v>357</v>
      </c>
      <c r="U16" s="4"/>
      <c r="V16" s="4"/>
      <c r="W16" s="4"/>
    </row>
    <row r="17" spans="3:23">
      <c r="C17" s="91" t="s">
        <v>364</v>
      </c>
      <c r="D17" s="91">
        <v>10</v>
      </c>
      <c r="E17" s="91">
        <v>10</v>
      </c>
      <c r="F17" s="91">
        <v>25</v>
      </c>
      <c r="G17" s="91">
        <v>25</v>
      </c>
      <c r="H17" s="91"/>
      <c r="I17" s="91"/>
      <c r="J17" s="91"/>
      <c r="K17" s="91"/>
      <c r="L17" s="91"/>
      <c r="P17" s="9"/>
      <c r="Q17" s="10"/>
      <c r="R17" s="11"/>
      <c r="S17" s="11"/>
      <c r="T17" s="11"/>
      <c r="U17" s="4"/>
      <c r="V17" s="4"/>
      <c r="W17" s="4"/>
    </row>
    <row r="18" spans="3:23">
      <c r="C18" s="91" t="s">
        <v>365</v>
      </c>
      <c r="D18" s="91">
        <v>10</v>
      </c>
      <c r="E18" s="91">
        <v>10</v>
      </c>
      <c r="F18" s="91">
        <v>50</v>
      </c>
      <c r="G18" s="91">
        <v>50</v>
      </c>
      <c r="H18" s="91"/>
      <c r="I18" s="91"/>
      <c r="J18" s="91"/>
      <c r="K18" s="91"/>
      <c r="L18" s="91"/>
      <c r="P18" s="9"/>
      <c r="Q18" s="10"/>
      <c r="R18" s="11"/>
      <c r="S18" s="11"/>
      <c r="T18" s="11"/>
      <c r="U18" s="4"/>
      <c r="V18" s="4"/>
      <c r="W18" s="4"/>
    </row>
    <row r="19" spans="3:23" ht="15.95">
      <c r="C19" s="91" t="s">
        <v>366</v>
      </c>
      <c r="D19" s="91">
        <v>10</v>
      </c>
      <c r="E19" s="105">
        <v>10</v>
      </c>
      <c r="F19" s="91">
        <v>20</v>
      </c>
      <c r="G19" s="91">
        <v>20</v>
      </c>
      <c r="H19" s="91">
        <v>20</v>
      </c>
      <c r="I19" s="91"/>
      <c r="J19" s="91">
        <v>20</v>
      </c>
      <c r="K19" s="91">
        <v>20</v>
      </c>
      <c r="L19" s="91">
        <v>20</v>
      </c>
      <c r="P19" s="9" t="s">
        <v>363</v>
      </c>
      <c r="Q19" s="10" t="s">
        <v>351</v>
      </c>
      <c r="R19" s="11" t="s">
        <v>357</v>
      </c>
      <c r="S19" s="11">
        <v>25</v>
      </c>
      <c r="T19" s="11" t="s">
        <v>357</v>
      </c>
      <c r="U19" s="4"/>
      <c r="V19" s="4"/>
      <c r="W19" s="4"/>
    </row>
    <row r="20" spans="3:23" ht="15.95">
      <c r="C20" s="91" t="s">
        <v>367</v>
      </c>
      <c r="D20" s="91">
        <v>10</v>
      </c>
      <c r="E20" s="105">
        <v>10</v>
      </c>
      <c r="F20" s="91">
        <v>30</v>
      </c>
      <c r="G20" s="91">
        <v>30</v>
      </c>
      <c r="H20" s="91">
        <v>30</v>
      </c>
      <c r="I20" s="91"/>
      <c r="J20" s="91">
        <v>30</v>
      </c>
      <c r="K20" s="91">
        <v>30</v>
      </c>
      <c r="L20" s="91">
        <v>30</v>
      </c>
      <c r="P20" s="14" t="s">
        <v>368</v>
      </c>
      <c r="Q20" s="15" t="s">
        <v>351</v>
      </c>
      <c r="R20" s="11">
        <v>30</v>
      </c>
      <c r="S20" s="11"/>
      <c r="T20" s="11" t="s">
        <v>357</v>
      </c>
      <c r="U20" s="106"/>
      <c r="V20" s="106"/>
      <c r="W20" s="4"/>
    </row>
    <row r="21" spans="3:23" ht="15.95">
      <c r="C21" s="91"/>
      <c r="D21" s="91"/>
      <c r="E21" s="91">
        <f>SUM(E7:E20)</f>
        <v>230</v>
      </c>
      <c r="F21" s="91">
        <f t="shared" ref="F21:L21" si="1">SUM(F7:F20)</f>
        <v>450</v>
      </c>
      <c r="G21" s="91">
        <f t="shared" si="1"/>
        <v>480</v>
      </c>
      <c r="H21" s="91">
        <f t="shared" si="1"/>
        <v>700</v>
      </c>
      <c r="I21" s="91"/>
      <c r="J21" s="91">
        <f t="shared" si="1"/>
        <v>465</v>
      </c>
      <c r="K21" s="91">
        <f t="shared" si="1"/>
        <v>515</v>
      </c>
      <c r="L21" s="91">
        <f t="shared" si="1"/>
        <v>515</v>
      </c>
      <c r="P21" s="14" t="s">
        <v>369</v>
      </c>
      <c r="Q21" s="15" t="s">
        <v>354</v>
      </c>
      <c r="R21" s="11">
        <v>30</v>
      </c>
      <c r="S21" s="11"/>
      <c r="T21" s="11" t="s">
        <v>357</v>
      </c>
      <c r="U21" s="5"/>
      <c r="V21" s="5"/>
      <c r="W21" s="5"/>
    </row>
    <row r="22" spans="3:23" ht="15.95">
      <c r="P22" s="14" t="s">
        <v>369</v>
      </c>
      <c r="Q22" s="15" t="s">
        <v>351</v>
      </c>
      <c r="R22" s="11">
        <v>30</v>
      </c>
      <c r="S22" s="11"/>
      <c r="T22" s="11" t="s">
        <v>357</v>
      </c>
      <c r="U22" s="5"/>
      <c r="V22" s="5"/>
      <c r="W22" s="5"/>
    </row>
    <row r="23" spans="3:23" ht="30.95">
      <c r="P23" s="14" t="s">
        <v>117</v>
      </c>
      <c r="Q23" s="15" t="s">
        <v>354</v>
      </c>
      <c r="R23" s="11">
        <v>30</v>
      </c>
      <c r="S23" s="11"/>
      <c r="T23" s="11" t="s">
        <v>357</v>
      </c>
      <c r="U23" s="5"/>
      <c r="V23" s="5"/>
      <c r="W23" s="5"/>
    </row>
    <row r="24" spans="3:23" ht="30.95">
      <c r="P24" s="14" t="s">
        <v>117</v>
      </c>
      <c r="Q24" s="15" t="s">
        <v>351</v>
      </c>
      <c r="R24" s="11">
        <v>30</v>
      </c>
      <c r="S24" s="11"/>
      <c r="T24" s="11" t="s">
        <v>357</v>
      </c>
      <c r="U24" s="5"/>
      <c r="V24" s="5"/>
      <c r="W24" s="5"/>
    </row>
    <row r="25" spans="3:23">
      <c r="P25" t="s">
        <v>370</v>
      </c>
      <c r="R25">
        <v>20</v>
      </c>
    </row>
    <row r="26" spans="3:23">
      <c r="P26" t="s">
        <v>370</v>
      </c>
      <c r="R26">
        <v>20</v>
      </c>
    </row>
  </sheetData>
  <mergeCells count="1">
    <mergeCell ref="D4:L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E20F-C5BE-4E5B-B537-FB796ADA6258}">
  <dimension ref="B4:C9"/>
  <sheetViews>
    <sheetView workbookViewId="0">
      <selection activeCell="D16" sqref="D16"/>
    </sheetView>
  </sheetViews>
  <sheetFormatPr defaultColWidth="8.85546875" defaultRowHeight="15"/>
  <cols>
    <col min="2" max="2" width="6.42578125" customWidth="1"/>
    <col min="3" max="3" width="93.7109375" style="2" customWidth="1"/>
  </cols>
  <sheetData>
    <row r="4" spans="2:3" ht="15.95">
      <c r="B4" t="s">
        <v>88</v>
      </c>
      <c r="C4" s="2" t="s">
        <v>371</v>
      </c>
    </row>
    <row r="5" spans="2:3" ht="15.95">
      <c r="B5" s="116">
        <v>1</v>
      </c>
      <c r="C5" s="117" t="s">
        <v>372</v>
      </c>
    </row>
    <row r="6" spans="2:3" ht="15.95">
      <c r="B6" s="116">
        <v>2</v>
      </c>
      <c r="C6" s="117" t="s">
        <v>373</v>
      </c>
    </row>
    <row r="7" spans="2:3" ht="15.95">
      <c r="B7" s="116">
        <v>3</v>
      </c>
      <c r="C7" s="117" t="s">
        <v>374</v>
      </c>
    </row>
    <row r="8" spans="2:3" ht="15.95">
      <c r="B8" s="116">
        <v>4</v>
      </c>
      <c r="C8" s="117" t="s">
        <v>375</v>
      </c>
    </row>
    <row r="9" spans="2:3" ht="15.95">
      <c r="B9" s="116">
        <v>5</v>
      </c>
      <c r="C9" s="117" t="s">
        <v>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DA2D-7B98-4050-A06F-1AA763C4AB09}">
  <dimension ref="A1:BR25"/>
  <sheetViews>
    <sheetView workbookViewId="0">
      <pane xSplit="1" topLeftCell="BF15" activePane="topRight" state="frozen"/>
      <selection pane="topRight" activeCell="BR26" sqref="BR26"/>
    </sheetView>
  </sheetViews>
  <sheetFormatPr defaultColWidth="8.85546875" defaultRowHeight="15"/>
  <cols>
    <col min="1" max="1" width="20.42578125" customWidth="1"/>
    <col min="2" max="3" width="8.85546875" customWidth="1"/>
    <col min="4" max="4" width="10.42578125" customWidth="1"/>
    <col min="5" max="6" width="8.85546875" customWidth="1"/>
    <col min="7" max="7" width="10.42578125" customWidth="1"/>
    <col min="8" max="9" width="11.28515625" customWidth="1"/>
    <col min="10" max="10" width="10.28515625" customWidth="1"/>
    <col min="11" max="13" width="8.85546875" customWidth="1"/>
    <col min="14" max="15" width="9.42578125" customWidth="1"/>
    <col min="34" max="34" width="9.140625" bestFit="1" customWidth="1"/>
  </cols>
  <sheetData>
    <row r="1" spans="1:70">
      <c r="B1" s="416" t="s">
        <v>377</v>
      </c>
      <c r="C1" s="417"/>
      <c r="D1" s="417"/>
      <c r="E1" s="415" t="s">
        <v>378</v>
      </c>
      <c r="F1" s="415"/>
      <c r="G1" s="415"/>
      <c r="H1" s="415" t="s">
        <v>379</v>
      </c>
      <c r="I1" s="415"/>
      <c r="J1" s="415"/>
      <c r="K1" s="415" t="s">
        <v>380</v>
      </c>
      <c r="L1" s="415"/>
      <c r="M1" s="415"/>
      <c r="N1" s="415" t="s">
        <v>381</v>
      </c>
      <c r="O1" s="415"/>
      <c r="P1" s="415"/>
      <c r="Q1" s="418" t="s">
        <v>382</v>
      </c>
      <c r="R1" s="418"/>
      <c r="S1" s="418"/>
      <c r="T1" s="415" t="s">
        <v>383</v>
      </c>
      <c r="U1" s="415"/>
      <c r="V1" s="415"/>
      <c r="W1" s="415" t="s">
        <v>384</v>
      </c>
      <c r="X1" s="415"/>
      <c r="Y1" s="415"/>
      <c r="Z1" s="415" t="s">
        <v>385</v>
      </c>
      <c r="AA1" s="415"/>
      <c r="AB1" s="415"/>
      <c r="AC1" s="415" t="s">
        <v>386</v>
      </c>
      <c r="AD1" s="415"/>
      <c r="AE1" s="415"/>
      <c r="AF1" s="415" t="s">
        <v>387</v>
      </c>
      <c r="AG1" s="415"/>
      <c r="AH1" s="415"/>
      <c r="AI1" s="415" t="s">
        <v>388</v>
      </c>
      <c r="AJ1" s="415"/>
      <c r="AK1" s="415"/>
      <c r="AL1" s="415" t="s">
        <v>389</v>
      </c>
      <c r="AM1" s="415"/>
      <c r="AN1" s="415"/>
      <c r="AO1" s="415" t="s">
        <v>390</v>
      </c>
      <c r="AP1" s="415"/>
      <c r="AQ1" s="415"/>
      <c r="AR1" s="415" t="s">
        <v>391</v>
      </c>
      <c r="AS1" s="415"/>
      <c r="AT1" s="415"/>
      <c r="AU1" s="415" t="s">
        <v>392</v>
      </c>
      <c r="AV1" s="415"/>
      <c r="AW1" s="415"/>
      <c r="AX1" s="415" t="s">
        <v>393</v>
      </c>
      <c r="AY1" s="415"/>
      <c r="AZ1" s="415"/>
      <c r="BA1" s="415" t="s">
        <v>394</v>
      </c>
      <c r="BB1" s="415"/>
      <c r="BC1" s="415"/>
      <c r="BD1" s="415" t="s">
        <v>395</v>
      </c>
      <c r="BE1" s="415"/>
      <c r="BF1" s="415"/>
      <c r="BG1" s="415" t="s">
        <v>396</v>
      </c>
      <c r="BH1" s="415"/>
      <c r="BI1" s="415"/>
      <c r="BJ1" s="415" t="s">
        <v>397</v>
      </c>
      <c r="BK1" s="415"/>
      <c r="BL1" s="415"/>
      <c r="BM1" s="415" t="s">
        <v>398</v>
      </c>
      <c r="BN1" s="415"/>
      <c r="BO1" s="415"/>
      <c r="BP1" s="415" t="s">
        <v>399</v>
      </c>
      <c r="BQ1" s="415"/>
      <c r="BR1" s="415"/>
    </row>
    <row r="2" spans="1:70">
      <c r="A2" s="3" t="s">
        <v>2</v>
      </c>
      <c r="B2" s="19" t="s">
        <v>400</v>
      </c>
      <c r="C2" s="19" t="s">
        <v>401</v>
      </c>
      <c r="D2" s="19" t="s">
        <v>402</v>
      </c>
      <c r="E2" s="19" t="s">
        <v>400</v>
      </c>
      <c r="F2" s="19" t="s">
        <v>401</v>
      </c>
      <c r="G2" s="19" t="s">
        <v>402</v>
      </c>
      <c r="H2" s="19" t="s">
        <v>400</v>
      </c>
      <c r="I2" s="19" t="s">
        <v>401</v>
      </c>
      <c r="J2" s="19" t="s">
        <v>402</v>
      </c>
      <c r="K2" s="19" t="s">
        <v>400</v>
      </c>
      <c r="L2" s="19" t="s">
        <v>401</v>
      </c>
      <c r="M2" s="19" t="s">
        <v>402</v>
      </c>
      <c r="N2" s="19" t="s">
        <v>400</v>
      </c>
      <c r="O2" s="19" t="s">
        <v>401</v>
      </c>
      <c r="P2" s="19" t="s">
        <v>402</v>
      </c>
      <c r="Q2" s="58" t="s">
        <v>400</v>
      </c>
      <c r="R2" s="58" t="s">
        <v>401</v>
      </c>
      <c r="S2" s="58" t="s">
        <v>402</v>
      </c>
      <c r="T2" s="19" t="s">
        <v>400</v>
      </c>
      <c r="U2" s="19" t="s">
        <v>401</v>
      </c>
      <c r="V2" s="19" t="s">
        <v>402</v>
      </c>
      <c r="W2" s="19" t="s">
        <v>400</v>
      </c>
      <c r="X2" s="19" t="s">
        <v>401</v>
      </c>
      <c r="Y2" s="19" t="s">
        <v>402</v>
      </c>
      <c r="Z2" s="19" t="s">
        <v>400</v>
      </c>
      <c r="AA2" s="19" t="s">
        <v>401</v>
      </c>
      <c r="AB2" s="19" t="s">
        <v>402</v>
      </c>
      <c r="AC2" s="19" t="s">
        <v>400</v>
      </c>
      <c r="AD2" s="19" t="s">
        <v>401</v>
      </c>
      <c r="AE2" s="19" t="s">
        <v>402</v>
      </c>
      <c r="AF2" s="19" t="s">
        <v>400</v>
      </c>
      <c r="AG2" s="19" t="s">
        <v>401</v>
      </c>
      <c r="AH2" s="19" t="s">
        <v>402</v>
      </c>
      <c r="AI2" s="19" t="s">
        <v>400</v>
      </c>
      <c r="AJ2" s="19" t="s">
        <v>401</v>
      </c>
      <c r="AK2" s="19" t="s">
        <v>402</v>
      </c>
      <c r="AL2" s="19" t="s">
        <v>400</v>
      </c>
      <c r="AM2" s="19" t="s">
        <v>401</v>
      </c>
      <c r="AN2" s="19" t="s">
        <v>402</v>
      </c>
      <c r="AO2" s="19" t="s">
        <v>400</v>
      </c>
      <c r="AP2" s="19" t="s">
        <v>401</v>
      </c>
      <c r="AQ2" s="19" t="s">
        <v>402</v>
      </c>
      <c r="AR2" s="19" t="s">
        <v>400</v>
      </c>
      <c r="AS2" s="19" t="s">
        <v>401</v>
      </c>
      <c r="AT2" s="19" t="s">
        <v>402</v>
      </c>
      <c r="AU2" s="19" t="s">
        <v>400</v>
      </c>
      <c r="AV2" s="19" t="s">
        <v>401</v>
      </c>
      <c r="AW2" s="19" t="s">
        <v>402</v>
      </c>
      <c r="AX2" s="19" t="s">
        <v>400</v>
      </c>
      <c r="AY2" s="19" t="s">
        <v>401</v>
      </c>
      <c r="AZ2" s="19" t="s">
        <v>402</v>
      </c>
      <c r="BA2" s="19" t="s">
        <v>400</v>
      </c>
      <c r="BB2" s="19" t="s">
        <v>401</v>
      </c>
      <c r="BC2" s="19" t="s">
        <v>402</v>
      </c>
      <c r="BD2" s="19" t="s">
        <v>400</v>
      </c>
      <c r="BE2" s="19" t="s">
        <v>401</v>
      </c>
      <c r="BF2" s="19" t="s">
        <v>402</v>
      </c>
      <c r="BG2" s="19" t="s">
        <v>400</v>
      </c>
      <c r="BH2" s="19" t="s">
        <v>401</v>
      </c>
      <c r="BI2" s="19" t="s">
        <v>402</v>
      </c>
      <c r="BJ2" s="19" t="s">
        <v>400</v>
      </c>
      <c r="BK2" s="19" t="s">
        <v>401</v>
      </c>
      <c r="BL2" s="19" t="s">
        <v>402</v>
      </c>
      <c r="BM2" s="19" t="s">
        <v>400</v>
      </c>
      <c r="BN2" s="19" t="s">
        <v>401</v>
      </c>
      <c r="BO2" s="19" t="s">
        <v>402</v>
      </c>
      <c r="BP2" s="19" t="s">
        <v>400</v>
      </c>
      <c r="BQ2" s="19" t="s">
        <v>401</v>
      </c>
      <c r="BR2" s="19" t="s">
        <v>402</v>
      </c>
    </row>
    <row r="3" spans="1:70">
      <c r="A3" s="24" t="s">
        <v>84</v>
      </c>
      <c r="B3" s="86">
        <f>SUM('Plan-JAS'!AA2:AF2)</f>
        <v>80</v>
      </c>
      <c r="C3" s="87">
        <f>SUM('Plan-JAS'!Z21:AF21)</f>
        <v>300</v>
      </c>
      <c r="D3" s="87">
        <f>SUM('Plan-JAS'!AA40:AF40)</f>
        <v>121</v>
      </c>
      <c r="E3" s="86">
        <f>SUM('Plan-JAS'!AG2:AM2)</f>
        <v>0</v>
      </c>
      <c r="F3" s="86">
        <f>SUM('Plan-JAS'!AG21:AM21)</f>
        <v>90</v>
      </c>
      <c r="G3" s="86">
        <f>SUM('Plan-JAS'!AG40:AM40)</f>
        <v>79</v>
      </c>
      <c r="H3" s="86">
        <f>SUM('Plan-JAS'!AN2:AT2)</f>
        <v>300</v>
      </c>
      <c r="I3" s="86">
        <f>SUM('Plan-JAS'!AO21:AT21)</f>
        <v>100</v>
      </c>
      <c r="J3" s="19">
        <f>SUM('Plan-JAS'!AN40:AT40)</f>
        <v>100</v>
      </c>
      <c r="K3" s="86">
        <f>SUM('Plan-JAS'!AU2:BB2)</f>
        <v>0</v>
      </c>
      <c r="L3" s="86">
        <f>SUM('Plan-JAS'!AU21:BB21)</f>
        <v>0</v>
      </c>
      <c r="M3" s="19">
        <f>SUM('Plan-JAS'!AU40:BB40)</f>
        <v>0</v>
      </c>
      <c r="N3" s="86">
        <f>SUM('Plan-JAS'!BC2:BI2)</f>
        <v>0</v>
      </c>
      <c r="O3" s="86">
        <f>SUM('Plan-JAS'!BC21:BI21)</f>
        <v>0</v>
      </c>
      <c r="P3" s="19">
        <f>SUM('Plan-JAS'!BC40:BI40)</f>
        <v>0</v>
      </c>
      <c r="Q3" s="120">
        <f>SUM('Plan-JAS'!BJ2:BP2)</f>
        <v>0</v>
      </c>
      <c r="R3" s="120">
        <f>SUM('Plan-JAS'!BJ21:BP21)</f>
        <v>0</v>
      </c>
      <c r="S3" s="58">
        <f>SUM('Plan-JAS'!BJ40:BP40)</f>
        <v>0</v>
      </c>
      <c r="T3" s="86">
        <f>SUM('Plan-JAS'!BQ2:BW2)</f>
        <v>0</v>
      </c>
      <c r="U3" s="86">
        <f>SUM('Plan-JAS'!BQ21:BW21)</f>
        <v>0</v>
      </c>
      <c r="V3" s="19">
        <f>SUM('Plan-JAS'!BQ40:BW40)</f>
        <v>0</v>
      </c>
      <c r="W3" s="86">
        <f>SUM('Plan-JAS'!BX2:CG2)</f>
        <v>0</v>
      </c>
      <c r="X3" s="86">
        <f>SUM('Plan-JAS'!BX21:CG21)</f>
        <v>0</v>
      </c>
      <c r="Y3" s="19">
        <f>SUM('Plan-JAS'!BX40:CG40)</f>
        <v>0</v>
      </c>
      <c r="Z3" s="86">
        <f>SUM('Plan-OND'!K22:Q22)</f>
        <v>0</v>
      </c>
      <c r="AA3" s="86">
        <f>SUM('Plan-JAS'!CA21:CJ21)</f>
        <v>0</v>
      </c>
      <c r="AB3" s="19">
        <f>SUM('Plan-JAS'!CA40:CJ40)</f>
        <v>0</v>
      </c>
      <c r="AC3" s="86">
        <f>SUM('Plan-OND'!N22:T22)</f>
        <v>0</v>
      </c>
      <c r="AD3" s="86">
        <f>SUM('Plan-JAS'!CD21:CM21)</f>
        <v>0</v>
      </c>
      <c r="AE3" s="19">
        <f>SUM('Plan-JAS'!CD40:CM40)</f>
        <v>0</v>
      </c>
      <c r="AF3" s="86">
        <f>SUM('Plan-OND'!Q22:W22)</f>
        <v>0</v>
      </c>
      <c r="AG3" s="86">
        <f>SUM('Plan-JAS'!CG21:CP21)</f>
        <v>0</v>
      </c>
      <c r="AH3" s="19">
        <f>SUM('Plan-JAS'!CG40:CP40)</f>
        <v>0</v>
      </c>
      <c r="AI3" s="86">
        <f>SUM('Plan-OND'!T22:Z22)</f>
        <v>0</v>
      </c>
      <c r="AJ3" s="86">
        <f>SUM('Plan-JAS'!CJ21:CS21)</f>
        <v>0</v>
      </c>
      <c r="AK3" s="19">
        <f>SUM('Plan-JAS'!CJ40:CS40)</f>
        <v>0</v>
      </c>
      <c r="AL3" s="86">
        <f>SUM('Plan-OND'!W22:AC22)</f>
        <v>0</v>
      </c>
      <c r="AM3" s="86">
        <f>SUM('Plan-JAS'!CM21:CV21)</f>
        <v>0</v>
      </c>
      <c r="AN3" s="19">
        <f>SUM('Plan-JAS'!CM40:CV40)</f>
        <v>0</v>
      </c>
      <c r="AO3" s="86">
        <f>SUM('Plan-OND'!BA22:BF22)</f>
        <v>0</v>
      </c>
      <c r="AP3" s="86">
        <f>SUM('Plan-OND'!BA42:BF42)</f>
        <v>0</v>
      </c>
      <c r="AQ3" s="19">
        <f>SUM('Plan-OND'!BA62:BF62)</f>
        <v>0</v>
      </c>
      <c r="AR3" s="86">
        <f>SUM('Plan-OND'!BG22:BM22)</f>
        <v>0</v>
      </c>
      <c r="AS3" s="86">
        <f>SUM('Plan-OND'!BH42:BM42)</f>
        <v>0</v>
      </c>
      <c r="AT3" s="19">
        <f>SUM('Plan-OND'!BH62:BM62)</f>
        <v>0</v>
      </c>
      <c r="AU3" s="86">
        <f>SUM('Plan-OND'!BO22:BT22)</f>
        <v>0</v>
      </c>
      <c r="AV3" s="86">
        <f>SUM('Plan-OND'!BK42:BP42)</f>
        <v>0</v>
      </c>
      <c r="AW3" s="19">
        <f>SUM('Plan-OND'!BO62:BT62)</f>
        <v>0</v>
      </c>
      <c r="AX3" s="86">
        <f>SUM('Plan-OND'!BV22:CA22)</f>
        <v>0</v>
      </c>
      <c r="AY3" s="86">
        <f>SUM('Plan-OND'!BV42:CA42)</f>
        <v>0</v>
      </c>
      <c r="AZ3" s="19">
        <f>SUM('Plan-OND'!BV62:CA62)</f>
        <v>0</v>
      </c>
      <c r="BA3" s="86">
        <f>SUM('Plan-OND'!CC22:CH22)</f>
        <v>0</v>
      </c>
      <c r="BB3" s="86">
        <f>SUM('Plan-OND'!CC42:CH42)</f>
        <v>0</v>
      </c>
      <c r="BC3" s="19">
        <f>SUM('Plan-OND'!CC62:CH62)</f>
        <v>0</v>
      </c>
      <c r="BD3" s="86">
        <f>SUM('Plan-OND'!CI22:CP22)</f>
        <v>0</v>
      </c>
      <c r="BE3" s="86">
        <f>SUM('Plan-OND'!CI42:CP42)</f>
        <v>0</v>
      </c>
      <c r="BF3" s="19">
        <f>SUM('Plan-OND'!CI62:CP62)</f>
        <v>0</v>
      </c>
      <c r="BG3" s="86">
        <f>SUM('Plan-OND'!CQ22:CS22)+SUM('Plan-JFM'!G26:H26)</f>
        <v>0</v>
      </c>
      <c r="BH3" s="86">
        <f>SUM('Plan-OND'!CQ42:CS42)</f>
        <v>0</v>
      </c>
      <c r="BI3" s="19">
        <f>SUM('Plan-OND'!CQ62:CS62)+SUM('Plan-JFM'!G70:H70)</f>
        <v>0</v>
      </c>
      <c r="BJ3" s="86">
        <f>SUM('Plan-JFM'!J26:O26)</f>
        <v>0</v>
      </c>
      <c r="BK3" s="86">
        <f>SUM('Plan-OND'!CT42:CV42)</f>
        <v>0</v>
      </c>
      <c r="BL3" s="19">
        <f>SUM('Plan-JFM'!J70:O70)</f>
        <v>0</v>
      </c>
      <c r="BM3" s="86">
        <f>SUM('Plan-JFM'!Q26:W26)</f>
        <v>0</v>
      </c>
      <c r="BN3" s="86">
        <f>SUM('Plan-OND'!CW42:CY42)</f>
        <v>0</v>
      </c>
      <c r="BO3" s="19">
        <f>SUM('Plan-JFM'!Q70:W70)</f>
        <v>0</v>
      </c>
      <c r="BP3" s="86">
        <f>SUM('Plan-JFM'!X26:AC26)</f>
        <v>200</v>
      </c>
      <c r="BQ3" s="86">
        <f>SUM('Plan-JFM'!X48:AC48)</f>
        <v>0</v>
      </c>
      <c r="BR3" s="19">
        <f>SUM('Plan-JFM'!Y70:AD70)</f>
        <v>0</v>
      </c>
    </row>
    <row r="4" spans="1:70">
      <c r="A4" s="24" t="s">
        <v>34</v>
      </c>
      <c r="B4" s="86">
        <f>SUM('Plan-JAS'!AA3:AF3)</f>
        <v>80</v>
      </c>
      <c r="C4" s="87">
        <f>SUM('Plan-JAS'!Z22:AF22)</f>
        <v>300</v>
      </c>
      <c r="D4" s="87">
        <f>SUM('Plan-JAS'!AA41:AF41)</f>
        <v>16</v>
      </c>
      <c r="E4" s="86">
        <f>SUM('Plan-JAS'!AG3:AM3)</f>
        <v>0</v>
      </c>
      <c r="F4" s="86">
        <f>SUM('Plan-JAS'!AG22:AM22)</f>
        <v>110</v>
      </c>
      <c r="G4" s="86">
        <f>SUM('Plan-JAS'!AG41:AM41)</f>
        <v>184</v>
      </c>
      <c r="H4" s="86">
        <f>SUM('Plan-JAS'!AN3:AT3)</f>
        <v>300</v>
      </c>
      <c r="I4" s="86">
        <f>SUM('Plan-JAS'!AO22:AT22)</f>
        <v>96</v>
      </c>
      <c r="J4" s="19">
        <f>SUM('Plan-JAS'!AN41:AT41)</f>
        <v>100</v>
      </c>
      <c r="K4" s="86">
        <f>SUM('Plan-JAS'!AU3:BB3)</f>
        <v>0</v>
      </c>
      <c r="L4" s="86">
        <f>SUM('Plan-JAS'!AU22:BB22)</f>
        <v>0</v>
      </c>
      <c r="M4" s="19">
        <f>SUM('Plan-JAS'!AU41:BB41)</f>
        <v>0</v>
      </c>
      <c r="N4" s="86">
        <f>SUM('Plan-JAS'!BC3:BI3)</f>
        <v>0</v>
      </c>
      <c r="O4" s="86">
        <f>SUM('Plan-JAS'!BC22:BI22)</f>
        <v>0</v>
      </c>
      <c r="P4" s="19">
        <f>SUM('Plan-JAS'!BC41:BI41)</f>
        <v>0</v>
      </c>
      <c r="Q4" s="120">
        <f>SUM('Plan-JAS'!BJ3:BP3)</f>
        <v>0</v>
      </c>
      <c r="R4" s="120">
        <f>SUM('Plan-JAS'!BJ22:BP22)</f>
        <v>0</v>
      </c>
      <c r="S4" s="58">
        <f>SUM('Plan-JAS'!BJ41:BP41)</f>
        <v>0</v>
      </c>
      <c r="T4" s="86">
        <f>SUM('Plan-JAS'!BQ3:BW3)</f>
        <v>0</v>
      </c>
      <c r="U4" s="86">
        <f>SUM('Plan-JAS'!BQ22:BW22)</f>
        <v>0</v>
      </c>
      <c r="V4" s="19">
        <f>SUM('Plan-JAS'!BQ41:BW41)</f>
        <v>0</v>
      </c>
      <c r="W4" s="86">
        <f>SUM('Plan-JAS'!BX3:CG3)</f>
        <v>0</v>
      </c>
      <c r="X4" s="86">
        <f>SUM('Plan-JAS'!BX22:CG22)</f>
        <v>0</v>
      </c>
      <c r="Y4" s="19">
        <f>SUM('Plan-JAS'!BX41:CG41)</f>
        <v>0</v>
      </c>
      <c r="Z4" s="86">
        <f>SUM('Plan-OND'!K23:Q23)</f>
        <v>0</v>
      </c>
      <c r="AA4" s="86">
        <f>SUM('Plan-JAS'!CA22:CJ22)</f>
        <v>0</v>
      </c>
      <c r="AB4" s="19">
        <f>SUM('Plan-JAS'!CA41:CJ41)</f>
        <v>0</v>
      </c>
      <c r="AC4" s="86">
        <f>SUM('Plan-OND'!N23:T23)</f>
        <v>0</v>
      </c>
      <c r="AD4" s="86">
        <f>SUM('Plan-JAS'!CD22:CM22)</f>
        <v>0</v>
      </c>
      <c r="AE4" s="19">
        <f>SUM('Plan-JAS'!CD41:CM41)</f>
        <v>0</v>
      </c>
      <c r="AF4" s="86">
        <f>SUM('Plan-OND'!Q23:W23)</f>
        <v>0</v>
      </c>
      <c r="AG4" s="86">
        <f>SUM('Plan-JAS'!CG22:CP22)</f>
        <v>0</v>
      </c>
      <c r="AH4" s="19">
        <f>SUM('Plan-JAS'!CG41:CP41)</f>
        <v>0</v>
      </c>
      <c r="AI4" s="86">
        <f>SUM('Plan-OND'!T23:Z23)</f>
        <v>0</v>
      </c>
      <c r="AJ4" s="86">
        <f>SUM('Plan-JAS'!CJ22:CS22)</f>
        <v>0</v>
      </c>
      <c r="AK4" s="19">
        <f>SUM('Plan-JAS'!CJ41:CS41)</f>
        <v>0</v>
      </c>
      <c r="AL4" s="86">
        <f>SUM('Plan-OND'!W23:AC23)</f>
        <v>0</v>
      </c>
      <c r="AM4" s="86">
        <f>SUM('Plan-JAS'!CM22:CV22)</f>
        <v>0</v>
      </c>
      <c r="AN4" s="19">
        <f>SUM('Plan-JAS'!CM41:CV41)</f>
        <v>0</v>
      </c>
      <c r="AO4" s="86">
        <f>SUM('Plan-OND'!BA23:BF23)</f>
        <v>0</v>
      </c>
      <c r="AP4" s="86">
        <f>SUM('Plan-OND'!BA43:BF43)</f>
        <v>0</v>
      </c>
      <c r="AQ4" s="19">
        <f>SUM('Plan-OND'!BA63:BF63)</f>
        <v>0</v>
      </c>
      <c r="AR4" s="86">
        <f>SUM('Plan-OND'!BG23:BM23)</f>
        <v>0</v>
      </c>
      <c r="AS4" s="86">
        <f>SUM('Plan-OND'!BH43:BM43)</f>
        <v>0</v>
      </c>
      <c r="AT4" s="19">
        <f>SUM('Plan-OND'!BH63:BM63)</f>
        <v>0</v>
      </c>
      <c r="AU4" s="86">
        <f>SUM('Plan-OND'!BO23:BT23)</f>
        <v>0</v>
      </c>
      <c r="AV4" s="86">
        <f>SUM('Plan-OND'!BK43:BP43)</f>
        <v>0</v>
      </c>
      <c r="AW4" s="19">
        <f>SUM('Plan-OND'!BO63:BT63)</f>
        <v>0</v>
      </c>
      <c r="AX4" s="86">
        <f>SUM('Plan-OND'!BV23:CA23)</f>
        <v>0</v>
      </c>
      <c r="AY4" s="86">
        <f>SUM('Plan-OND'!BV43:CA43)</f>
        <v>0</v>
      </c>
      <c r="AZ4" s="19">
        <f>SUM('Plan-OND'!BV63:CA63)</f>
        <v>0</v>
      </c>
      <c r="BA4" s="86">
        <f>SUM('Plan-OND'!CC23:CH23)</f>
        <v>0</v>
      </c>
      <c r="BB4" s="86">
        <f>SUM('Plan-OND'!CC43:CH43)</f>
        <v>0</v>
      </c>
      <c r="BC4" s="19">
        <f>SUM('Plan-OND'!CC63:CH63)</f>
        <v>0</v>
      </c>
      <c r="BD4" s="86">
        <f>SUM('Plan-OND'!CI23:CP23)</f>
        <v>0</v>
      </c>
      <c r="BE4" s="86">
        <f>SUM('Plan-OND'!CI43:CP43)</f>
        <v>0</v>
      </c>
      <c r="BF4" s="19">
        <f>SUM('Plan-OND'!CI63:CP63)</f>
        <v>0</v>
      </c>
      <c r="BG4" s="86">
        <f>SUM('Plan-OND'!CQ23:CS23)+SUM('Plan-JFM'!G27:H27)</f>
        <v>0</v>
      </c>
      <c r="BH4" s="86">
        <f>SUM('Plan-OND'!CQ43:CS43)</f>
        <v>0</v>
      </c>
      <c r="BI4" s="19">
        <f>SUM('Plan-OND'!CQ63:CS63)+SUM('Plan-JFM'!G71:H71)</f>
        <v>0</v>
      </c>
      <c r="BJ4" s="86">
        <f>SUM('Plan-JFM'!J27:O27)</f>
        <v>0</v>
      </c>
      <c r="BK4" s="86">
        <f>SUM('Plan-OND'!CT43:CV43)</f>
        <v>0</v>
      </c>
      <c r="BL4" s="19">
        <f>SUM('Plan-JFM'!J71:O71)</f>
        <v>0</v>
      </c>
      <c r="BM4" s="86">
        <f>SUM('Plan-JFM'!Q27:W27)</f>
        <v>0</v>
      </c>
      <c r="BN4" s="86">
        <f>SUM('Plan-OND'!CW43:CY43)</f>
        <v>0</v>
      </c>
      <c r="BO4" s="19">
        <f>SUM('Plan-JFM'!Q71:W71)</f>
        <v>0</v>
      </c>
      <c r="BP4" s="86">
        <f>SUM('Plan-JFM'!X27:AC27)</f>
        <v>150</v>
      </c>
      <c r="BQ4" s="86">
        <f>SUM('Plan-JFM'!X49:AC49)</f>
        <v>0</v>
      </c>
      <c r="BR4" s="19">
        <f>SUM('Plan-JFM'!Y71:AD71)</f>
        <v>0</v>
      </c>
    </row>
    <row r="5" spans="1:70">
      <c r="A5" s="24" t="s">
        <v>36</v>
      </c>
      <c r="B5" s="86">
        <f>SUM('Plan-JAS'!AA4:AF4)</f>
        <v>110</v>
      </c>
      <c r="C5" s="87">
        <f>SUM('Plan-JAS'!Z23:AF23)</f>
        <v>210</v>
      </c>
      <c r="D5" s="87">
        <f>SUM('Plan-JAS'!AA42:AF42)</f>
        <v>133</v>
      </c>
      <c r="E5" s="86">
        <f>SUM('Plan-JAS'!AG4:AM4)</f>
        <v>0</v>
      </c>
      <c r="F5" s="86">
        <f>SUM('Plan-JAS'!AG23:AM23)</f>
        <v>72</v>
      </c>
      <c r="G5" s="86">
        <f>SUM('Plan-JAS'!AG42:AM42)</f>
        <v>72</v>
      </c>
      <c r="H5" s="86">
        <f>SUM('Plan-JAS'!AN4:AT4)</f>
        <v>0</v>
      </c>
      <c r="I5" s="86">
        <f>SUM('Plan-JAS'!AO23:AT23)</f>
        <v>0</v>
      </c>
      <c r="J5" s="19">
        <f>SUM('Plan-JAS'!AN42:AT42)</f>
        <v>0</v>
      </c>
      <c r="K5" s="86">
        <f>SUM('Plan-JAS'!AU4:BB4)</f>
        <v>0</v>
      </c>
      <c r="L5" s="86">
        <f>SUM('Plan-JAS'!AU23:BB23)</f>
        <v>136</v>
      </c>
      <c r="M5" s="19">
        <f>SUM('Plan-JAS'!AU42:BB42)</f>
        <v>16</v>
      </c>
      <c r="N5" s="86">
        <f>SUM('Plan-JAS'!BC4:BI4)</f>
        <v>0</v>
      </c>
      <c r="O5" s="86">
        <f>SUM('Plan-JAS'!BC23:BI23)</f>
        <v>261</v>
      </c>
      <c r="P5" s="19">
        <f>SUM('Plan-JAS'!BC42:BI42)</f>
        <v>106</v>
      </c>
      <c r="Q5" s="120">
        <f>SUM('Plan-JAS'!BJ4:BP4)</f>
        <v>0</v>
      </c>
      <c r="R5" s="120">
        <f>SUM('Plan-JAS'!BJ23:BP23)</f>
        <v>155</v>
      </c>
      <c r="S5" s="58">
        <f>SUM('Plan-JAS'!BJ42:BP42)</f>
        <v>155</v>
      </c>
      <c r="T5" s="86">
        <f>SUM('Plan-JAS'!BQ4:BW4)</f>
        <v>0</v>
      </c>
      <c r="U5" s="86">
        <f>SUM('Plan-JAS'!BQ23:BW23)</f>
        <v>15</v>
      </c>
      <c r="V5" s="19">
        <f>SUM('Plan-JAS'!BQ42:BW42)</f>
        <v>15</v>
      </c>
      <c r="W5" s="86">
        <f>SUM('Plan-JAS'!BX4:CG4)</f>
        <v>0</v>
      </c>
      <c r="X5" s="86">
        <f>SUM('Plan-JAS'!BX23:CG23)</f>
        <v>0</v>
      </c>
      <c r="Y5" s="19">
        <f>SUM('Plan-JAS'!BX42:CG42)</f>
        <v>0</v>
      </c>
      <c r="Z5" s="86">
        <f>SUM('Plan-OND'!K24:Q24)</f>
        <v>0</v>
      </c>
      <c r="AA5" s="86">
        <f>SUM('Plan-JAS'!CA23:CJ23)</f>
        <v>0</v>
      </c>
      <c r="AB5" s="19">
        <f>SUM('Plan-JAS'!CA42:CJ42)</f>
        <v>0</v>
      </c>
      <c r="AC5" s="86">
        <f>SUM('Plan-OND'!N24:T24)</f>
        <v>0</v>
      </c>
      <c r="AD5" s="86">
        <f>SUM('Plan-JAS'!CD23:CM23)</f>
        <v>0</v>
      </c>
      <c r="AE5" s="19">
        <f>SUM('Plan-JAS'!CD42:CM42)</f>
        <v>0</v>
      </c>
      <c r="AF5" s="86">
        <f>SUM('Plan-OND'!Q24:W24)</f>
        <v>200</v>
      </c>
      <c r="AG5" s="86">
        <f>SUM('Plan-JAS'!CG23:CP23)</f>
        <v>0</v>
      </c>
      <c r="AH5" s="19">
        <f>SUM('Plan-JAS'!CG42:CP42)</f>
        <v>0</v>
      </c>
      <c r="AI5" s="86">
        <f>SUM('Plan-OND'!T24:Z24)</f>
        <v>200</v>
      </c>
      <c r="AJ5" s="86">
        <f>SUM('Plan-JAS'!CJ23:CS23)</f>
        <v>0</v>
      </c>
      <c r="AK5" s="19">
        <f>SUM('Plan-OND'!AM64:AT64)</f>
        <v>100</v>
      </c>
      <c r="AL5" s="86">
        <f>SUM('Plan-OND'!AT24:AZ24)</f>
        <v>200</v>
      </c>
      <c r="AM5" s="86">
        <f>SUM('Plan-JAS'!CM23:CV23)</f>
        <v>0</v>
      </c>
      <c r="AN5" s="19">
        <f>SUM('Plan-OND'!AT64:AY64)</f>
        <v>80</v>
      </c>
      <c r="AO5" s="86">
        <f>SUM('Plan-OND'!BA24:BF24)</f>
        <v>0</v>
      </c>
      <c r="AP5" s="86">
        <f>SUM('Plan-OND'!BA44:BF44)</f>
        <v>20</v>
      </c>
      <c r="AQ5" s="19">
        <f>SUM('Plan-OND'!BA64:BF64)</f>
        <v>20</v>
      </c>
      <c r="AR5" s="86">
        <f>SUM('Plan-OND'!BG24:BM24)</f>
        <v>0</v>
      </c>
      <c r="AS5" s="86">
        <f>SUM('Plan-OND'!BH44:BM44)</f>
        <v>0</v>
      </c>
      <c r="AT5" s="19">
        <f>SUM('Plan-OND'!BH64:BM64)</f>
        <v>0</v>
      </c>
      <c r="AU5" s="86">
        <f>SUM('Plan-OND'!BO24:BT24)</f>
        <v>0</v>
      </c>
      <c r="AV5" s="86">
        <f>SUM('Plan-OND'!BK44:BP44)</f>
        <v>0</v>
      </c>
      <c r="AW5" s="19">
        <f>SUM('Plan-OND'!BO64:BT64)</f>
        <v>0</v>
      </c>
      <c r="AX5" s="86">
        <f>SUM('Plan-OND'!BV24:CA24)</f>
        <v>200</v>
      </c>
      <c r="AY5" s="86">
        <f>SUM('Plan-OND'!BV44:CA44)</f>
        <v>0</v>
      </c>
      <c r="AZ5" s="19">
        <f>SUM('Plan-OND'!BV64:CA64)</f>
        <v>0</v>
      </c>
      <c r="BA5" s="86">
        <f>SUM('Plan-OND'!CC24:CH24)</f>
        <v>200</v>
      </c>
      <c r="BB5" s="86">
        <f>SUM('Plan-OND'!CC44:CH44)</f>
        <v>0</v>
      </c>
      <c r="BC5" s="19">
        <f>SUM('Plan-OND'!CC64:CH64)</f>
        <v>0</v>
      </c>
      <c r="BD5" s="86">
        <f>SUM('Plan-OND'!CI24:CP24)</f>
        <v>0</v>
      </c>
      <c r="BE5" s="86">
        <f>SUM('Plan-OND'!CI44:CP44)</f>
        <v>400</v>
      </c>
      <c r="BF5" s="19">
        <f>SUM('Plan-OND'!CI64:CP64)</f>
        <v>255</v>
      </c>
      <c r="BG5" s="86">
        <f>SUM('Plan-OND'!CQ24:CS24)+SUM('Plan-JFM'!G28:H28)</f>
        <v>0</v>
      </c>
      <c r="BH5" s="86">
        <f>SUM('Plan-OND'!CQ44:CS44)</f>
        <v>0</v>
      </c>
      <c r="BI5" s="19">
        <f>SUM('Plan-OND'!CQ64:CS64)+SUM('Plan-JFM'!G72:H72)</f>
        <v>0</v>
      </c>
      <c r="BJ5" s="86">
        <f>SUM('Plan-JFM'!J28:O28)</f>
        <v>145</v>
      </c>
      <c r="BK5" s="86">
        <f>SUM('Plan-OND'!CT44:CV44)</f>
        <v>0</v>
      </c>
      <c r="BL5" s="19">
        <f>SUM('Plan-JFM'!J72:O72)</f>
        <v>0</v>
      </c>
      <c r="BM5" s="86">
        <f>SUM('Plan-JFM'!Q28:W28)</f>
        <v>400</v>
      </c>
      <c r="BN5" s="86">
        <f>SUM('Plan-OND'!CW44:CY44)</f>
        <v>0</v>
      </c>
      <c r="BO5" s="19">
        <f>SUM('Plan-JFM'!Q72:W72)</f>
        <v>0</v>
      </c>
      <c r="BP5" s="86">
        <f>SUM('Plan-JFM'!X28:AC28)</f>
        <v>0</v>
      </c>
      <c r="BQ5" s="86">
        <f>SUM('Plan-JFM'!X50:AC50)</f>
        <v>0</v>
      </c>
      <c r="BR5" s="19">
        <f>SUM('Plan-JFM'!Y72:AD72)</f>
        <v>145</v>
      </c>
    </row>
    <row r="6" spans="1:70">
      <c r="A6" s="24" t="s">
        <v>37</v>
      </c>
      <c r="B6" s="86">
        <f>SUM('Plan-JAS'!AA5:AF5)</f>
        <v>0</v>
      </c>
      <c r="C6" s="87">
        <f>SUM('Plan-JAS'!Z24:AF24)</f>
        <v>0</v>
      </c>
      <c r="D6" s="87">
        <f>SUM('Plan-JAS'!AA43:AF43)</f>
        <v>0</v>
      </c>
      <c r="E6" s="86">
        <f>SUM('Plan-JAS'!AG5:AM5)</f>
        <v>0</v>
      </c>
      <c r="F6" s="86">
        <f>SUM('Plan-JAS'!AG24:AM24)</f>
        <v>170</v>
      </c>
      <c r="G6" s="86">
        <f>SUM('Plan-JAS'!AG43:AM43)</f>
        <v>100</v>
      </c>
      <c r="H6" s="86">
        <f>SUM('Plan-JAS'!AN5:AT5)</f>
        <v>0</v>
      </c>
      <c r="I6" s="86">
        <f>SUM('Plan-JAS'!AO24:AT24)</f>
        <v>70</v>
      </c>
      <c r="J6" s="19">
        <f>SUM('Plan-JAS'!AN43:AT43)</f>
        <v>0</v>
      </c>
      <c r="K6" s="86">
        <f>SUM('Plan-JAS'!AU5:BB5)</f>
        <v>0</v>
      </c>
      <c r="L6" s="86">
        <f>SUM('Plan-JAS'!AU24:BB24)</f>
        <v>168</v>
      </c>
      <c r="M6" s="19">
        <f>SUM('Plan-JAS'!AU43:BB43)</f>
        <v>168</v>
      </c>
      <c r="N6" s="86">
        <f>SUM('Plan-JAS'!BC5:BI5)</f>
        <v>0</v>
      </c>
      <c r="O6" s="86">
        <f>SUM('Plan-JAS'!BC24:BI24)</f>
        <v>100</v>
      </c>
      <c r="P6" s="19">
        <f>SUM('Plan-JAS'!BC43:BI43)</f>
        <v>0</v>
      </c>
      <c r="Q6" s="120">
        <f>SUM('Plan-JAS'!BJ5:BP5)</f>
        <v>0</v>
      </c>
      <c r="R6" s="120">
        <f>SUM('Plan-JAS'!BJ24:BP24)</f>
        <v>100</v>
      </c>
      <c r="S6" s="58">
        <f>SUM('Plan-JAS'!BJ43:BP43)</f>
        <v>0</v>
      </c>
      <c r="T6" s="86">
        <f>SUM('Plan-JAS'!BQ5:BW5)</f>
        <v>0</v>
      </c>
      <c r="U6" s="86">
        <f>SUM('Plan-JAS'!BQ24:BW24)</f>
        <v>171</v>
      </c>
      <c r="V6" s="19">
        <f>SUM('Plan-JAS'!BQ43:BW43)</f>
        <v>171</v>
      </c>
      <c r="W6" s="86">
        <f>SUM('Plan-JAS'!BX5:CG5)</f>
        <v>0</v>
      </c>
      <c r="X6" s="86">
        <f>SUM('Plan-JAS'!BX24:CG24)</f>
        <v>0</v>
      </c>
      <c r="Y6" s="19">
        <f>SUM('Plan-JAS'!BX43:CG43)</f>
        <v>0</v>
      </c>
      <c r="Z6" s="86">
        <f>SUM('Plan-OND'!K25:Q25)</f>
        <v>0</v>
      </c>
      <c r="AA6" s="86">
        <f>SUM('Plan-JAS'!CA24:CJ24)</f>
        <v>0</v>
      </c>
      <c r="AB6" s="19">
        <f>SUM('Plan-JAS'!CA43:CJ43)</f>
        <v>0</v>
      </c>
      <c r="AC6" s="86">
        <f>SUM('Plan-OND'!N25:T25)</f>
        <v>0</v>
      </c>
      <c r="AD6" s="86">
        <f>SUM('Plan-JAS'!CD24:CM24)</f>
        <v>0</v>
      </c>
      <c r="AE6" s="19">
        <f>SUM('Plan-JAS'!CD43:CM43)</f>
        <v>0</v>
      </c>
      <c r="AF6" s="86">
        <f>SUM('Plan-OND'!Q25:W25)</f>
        <v>0</v>
      </c>
      <c r="AG6" s="86">
        <f>SUM('Plan-JAS'!CG24:CP24)</f>
        <v>0</v>
      </c>
      <c r="AH6" s="19">
        <f>SUM('Plan-JAS'!CG43:CP43)</f>
        <v>0</v>
      </c>
      <c r="AI6" s="86">
        <f>SUM('Plan-OND'!T25:Z25)</f>
        <v>200</v>
      </c>
      <c r="AJ6" s="86">
        <f>SUM('Plan-JAS'!CJ24:CS24)</f>
        <v>0</v>
      </c>
      <c r="AK6" s="19">
        <f>SUM('Plan-OND'!AM65:AT65)</f>
        <v>100</v>
      </c>
      <c r="AL6" s="86">
        <f>SUM('Plan-OND'!AT25:AZ25)</f>
        <v>200</v>
      </c>
      <c r="AM6" s="86">
        <f>SUM('Plan-JAS'!CM24:CV24)</f>
        <v>0</v>
      </c>
      <c r="AN6" s="19">
        <v>0</v>
      </c>
      <c r="AO6" s="86">
        <f>SUM('Plan-OND'!BA25:BF25)</f>
        <v>0</v>
      </c>
      <c r="AP6" s="86">
        <f>SUM('Plan-OND'!BA45:BF45)</f>
        <v>100</v>
      </c>
      <c r="AQ6" s="19">
        <f>SUM('Plan-OND'!BA65:BF65)</f>
        <v>89</v>
      </c>
      <c r="AR6" s="86">
        <f>SUM('Plan-OND'!BG25:BM25)</f>
        <v>0</v>
      </c>
      <c r="AS6" s="86">
        <f>SUM('Plan-OND'!BH45:BM45)</f>
        <v>0</v>
      </c>
      <c r="AT6" s="19">
        <f>SUM('Plan-OND'!BH65:BM65)</f>
        <v>0</v>
      </c>
      <c r="AU6" s="86">
        <f>SUM('Plan-OND'!BO25:BT25)</f>
        <v>0</v>
      </c>
      <c r="AV6" s="86">
        <f>SUM('Plan-OND'!BK45:BP45)</f>
        <v>0</v>
      </c>
      <c r="AW6" s="19">
        <f>SUM('Plan-OND'!BO65:BT65)</f>
        <v>0</v>
      </c>
      <c r="AX6" s="86">
        <f>SUM('Plan-OND'!BV25:CA25)</f>
        <v>200</v>
      </c>
      <c r="AY6" s="86">
        <f>SUM('Plan-OND'!BV45:CA45)</f>
        <v>0</v>
      </c>
      <c r="AZ6" s="19">
        <f>SUM('Plan-OND'!BV65:CA65)</f>
        <v>0</v>
      </c>
      <c r="BA6" s="86">
        <f>SUM('Plan-OND'!CC25:CH25)</f>
        <v>150</v>
      </c>
      <c r="BB6" s="86">
        <f>SUM('Plan-OND'!CC45:CH45)</f>
        <v>0</v>
      </c>
      <c r="BC6" s="19">
        <f>SUM('Plan-OND'!CC65:CH65)</f>
        <v>0</v>
      </c>
      <c r="BD6" s="86">
        <f>SUM('Plan-OND'!CI25:CP25)</f>
        <v>0</v>
      </c>
      <c r="BE6" s="86">
        <f>SUM('Plan-OND'!CI45:CP45)</f>
        <v>350</v>
      </c>
      <c r="BF6" s="19">
        <f>SUM('Plan-OND'!CI65:CP65)</f>
        <v>350</v>
      </c>
      <c r="BG6" s="86">
        <f>SUM('Plan-OND'!CQ25:CS25)+SUM('Plan-JFM'!G29:H29)</f>
        <v>0</v>
      </c>
      <c r="BH6" s="86">
        <f>SUM('Plan-OND'!CQ45:CS45)</f>
        <v>0</v>
      </c>
      <c r="BI6" s="19">
        <f>SUM('Plan-OND'!CQ65:CS65)+SUM('Plan-JFM'!G73:H73)</f>
        <v>0</v>
      </c>
      <c r="BJ6" s="86">
        <f>SUM('Plan-JFM'!J29:O29)</f>
        <v>0</v>
      </c>
      <c r="BK6" s="86">
        <f>SUM('Plan-OND'!CT45:CV45)</f>
        <v>0</v>
      </c>
      <c r="BL6" s="19">
        <f>SUM('Plan-JFM'!J73:O73)</f>
        <v>0</v>
      </c>
      <c r="BM6" s="86">
        <f>SUM('Plan-JFM'!Q29:W29)</f>
        <v>400</v>
      </c>
      <c r="BN6" s="86">
        <f>SUM('Plan-OND'!CW45:CY45)</f>
        <v>0</v>
      </c>
      <c r="BO6" s="19">
        <f>SUM('Plan-JFM'!Q73:W73)</f>
        <v>0</v>
      </c>
      <c r="BP6" s="86">
        <f>SUM('Plan-JFM'!X29:AC29)</f>
        <v>0</v>
      </c>
      <c r="BQ6" s="86">
        <f>SUM('Plan-JFM'!X51:AC51)</f>
        <v>0</v>
      </c>
      <c r="BR6" s="19">
        <f>SUM('Plan-JFM'!Y73:AD73)</f>
        <v>0</v>
      </c>
    </row>
    <row r="7" spans="1:70">
      <c r="A7" s="24" t="s">
        <v>116</v>
      </c>
      <c r="B7" s="86">
        <f>SUM('Plan-JAS'!AA8:AF8)</f>
        <v>420</v>
      </c>
      <c r="C7" s="87">
        <f>SUM('Plan-JAS'!Z27:AF27)</f>
        <v>400</v>
      </c>
      <c r="D7" s="87">
        <f>SUM('Plan-JAS'!AA46:AF46)</f>
        <v>226</v>
      </c>
      <c r="E7" s="86">
        <f>SUM('Plan-JAS'!AG8:AM8)</f>
        <v>0</v>
      </c>
      <c r="F7" s="86">
        <f>SUM('Plan-JAS'!AG27:AM27)</f>
        <v>450</v>
      </c>
      <c r="G7" s="86">
        <f>SUM('Plan-JAS'!AG46:AM46)</f>
        <v>264</v>
      </c>
      <c r="H7" s="86">
        <f>SUM('Plan-JAS'!AN8:AT8)</f>
        <v>600</v>
      </c>
      <c r="I7" s="86">
        <f>SUM('Plan-JAS'!AO27:AT27)</f>
        <v>450</v>
      </c>
      <c r="J7" s="19">
        <f>SUM('Plan-JAS'!AN46:AT46)</f>
        <v>455</v>
      </c>
      <c r="K7" s="86">
        <f>SUM('Plan-JAS'!AU8:BB8)</f>
        <v>600</v>
      </c>
      <c r="L7" s="86">
        <f>SUM('Plan-JAS'!AU27:BB27)</f>
        <v>640</v>
      </c>
      <c r="M7" s="19">
        <f>SUM('Plan-JAS'!AU46:BB46)</f>
        <v>224</v>
      </c>
      <c r="N7" s="86">
        <f>SUM('Plan-JAS'!BC8:BI8)</f>
        <v>400</v>
      </c>
      <c r="O7" s="86">
        <f>SUM('Plan-JAS'!BC27:BI27)</f>
        <v>0</v>
      </c>
      <c r="P7" s="19">
        <f>SUM('Plan-JAS'!BC46:BI46)</f>
        <v>0</v>
      </c>
      <c r="Q7" s="120">
        <f>SUM('Plan-JAS'!BJ8:BP8)</f>
        <v>0</v>
      </c>
      <c r="R7" s="120">
        <f>SUM('Plan-JAS'!BJ27:BP27)</f>
        <v>480</v>
      </c>
      <c r="S7" s="58">
        <f>SUM('Plan-JAS'!BJ46:BP46)</f>
        <v>419</v>
      </c>
      <c r="T7" s="86">
        <f>SUM('Plan-JAS'!BQ8:BW8)</f>
        <v>0</v>
      </c>
      <c r="U7" s="86">
        <f>SUM('Plan-JAS'!BQ27:BW27)</f>
        <v>240</v>
      </c>
      <c r="V7" s="19">
        <f>SUM('Plan-JAS'!BQ46:BW46)</f>
        <v>203</v>
      </c>
      <c r="W7" s="86">
        <f>SUM('Plan-JAS'!BX8:CG8)</f>
        <v>0</v>
      </c>
      <c r="X7" s="86">
        <f>SUM('Plan-JAS'!BX27:CG27)</f>
        <v>309</v>
      </c>
      <c r="Y7" s="19">
        <f>SUM('Plan-JAS'!BX46:CG46)</f>
        <v>20</v>
      </c>
      <c r="Z7" s="86">
        <f>SUM('Plan-JAS'!CA8:CJ8)</f>
        <v>0</v>
      </c>
      <c r="AA7" s="86">
        <v>0</v>
      </c>
      <c r="AB7" s="19">
        <f>SUM('Plan-JAS'!CA46:CJ46)</f>
        <v>20</v>
      </c>
      <c r="AC7" s="86">
        <f>SUM('Plan-JAS'!CD8:CM8)</f>
        <v>0</v>
      </c>
      <c r="AD7" s="86">
        <v>0</v>
      </c>
      <c r="AE7" s="19">
        <f>SUM('Plan-JAS'!CD46:CM46)</f>
        <v>20</v>
      </c>
      <c r="AF7" s="86">
        <f>SUM('Plan-JAS'!CG8:CP8)</f>
        <v>0</v>
      </c>
      <c r="AG7" s="86">
        <v>0</v>
      </c>
      <c r="AH7" s="19">
        <f>SUM('Plan-JAS'!CG46:CP46)</f>
        <v>20</v>
      </c>
      <c r="AI7" s="86">
        <f>SUM('Plan-OND'!AM26:AS26)</f>
        <v>500</v>
      </c>
      <c r="AJ7" s="86">
        <f>SUM('Plan-OND'!AM46:AS46)</f>
        <v>300</v>
      </c>
      <c r="AK7" s="19">
        <f>SUM('Plan-JAS'!CJ46:CS46)</f>
        <v>0</v>
      </c>
      <c r="AL7" s="86">
        <f>SUM('Plan-OND'!AT26:AZ26)</f>
        <v>600</v>
      </c>
      <c r="AM7" s="86">
        <v>0</v>
      </c>
      <c r="AN7" s="19">
        <f>SUM('Plan-JAS'!CM46:CV46)</f>
        <v>0</v>
      </c>
      <c r="AO7" s="86">
        <f>SUM('Plan-OND'!BA26:BF26)</f>
        <v>1200</v>
      </c>
      <c r="AP7" s="86">
        <f>SUM('Plan-OND'!BA46:BF46)</f>
        <v>852</v>
      </c>
      <c r="AQ7" s="19">
        <f>SUM('Plan-OND'!BA66:BF66)</f>
        <v>300</v>
      </c>
      <c r="AR7" s="86">
        <f>SUM('Plan-OND'!BG26:BM26)</f>
        <v>727</v>
      </c>
      <c r="AS7" s="86">
        <f>SUM('Plan-OND'!BH46:BM46)</f>
        <v>0</v>
      </c>
      <c r="AT7" s="19">
        <f>SUM('Plan-OND'!BH66:BM66)</f>
        <v>440</v>
      </c>
      <c r="AU7" s="86">
        <f>SUM('Plan-OND'!BO26:BT26)</f>
        <v>507</v>
      </c>
      <c r="AV7" s="86">
        <f>SUM('Plan-OND'!BK46:BP46)</f>
        <v>0</v>
      </c>
      <c r="AW7" s="19">
        <f>SUM('Plan-OND'!BO66:BT66)</f>
        <v>267</v>
      </c>
      <c r="AX7" s="86">
        <f>SUM('Plan-OND'!BV26:CA26)</f>
        <v>500</v>
      </c>
      <c r="AY7" s="86">
        <f>SUM('Plan-OND'!BV46:CA46)</f>
        <v>900</v>
      </c>
      <c r="AZ7" s="19">
        <f>SUM('Plan-OND'!BV66:CA66)</f>
        <v>300</v>
      </c>
      <c r="BA7" s="86">
        <f>SUM('Plan-OND'!CC26:CH26)</f>
        <v>1000</v>
      </c>
      <c r="BB7" s="86">
        <f>SUM('Plan-OND'!CC46:CH46)</f>
        <v>800</v>
      </c>
      <c r="BC7" s="19">
        <f>SUM('Plan-OND'!CC66:CH66)</f>
        <v>310</v>
      </c>
      <c r="BD7" s="86">
        <f>SUM('Plan-OND'!CI26:CP26)</f>
        <v>1000</v>
      </c>
      <c r="BE7" s="86">
        <f>SUM('Plan-OND'!CI46:CP46)</f>
        <v>850</v>
      </c>
      <c r="BF7" s="19">
        <f>SUM('Plan-OND'!CI66:CP66)</f>
        <v>199</v>
      </c>
      <c r="BG7" s="86">
        <f>SUM('Plan-OND'!CQ26:CS26)+SUM('Plan-JFM'!G30:H30)</f>
        <v>700</v>
      </c>
      <c r="BH7" s="86">
        <v>0</v>
      </c>
      <c r="BI7" s="19">
        <f>SUM('Plan-OND'!CQ66:CS66)+SUM('Plan-JFM'!G74:H74)</f>
        <v>1113</v>
      </c>
      <c r="BJ7" s="86">
        <f>SUM('Plan-JFM'!J30:O30)</f>
        <v>1014</v>
      </c>
      <c r="BK7" s="86">
        <v>0</v>
      </c>
      <c r="BL7" s="19">
        <f>SUM('Plan-JFM'!J74:O74)</f>
        <v>508</v>
      </c>
      <c r="BM7" s="86">
        <f>SUM('Plan-JFM'!Q30:W30)</f>
        <v>0</v>
      </c>
      <c r="BN7" s="86">
        <v>0</v>
      </c>
      <c r="BO7" s="19">
        <f>SUM('Plan-JFM'!Q74:W74)</f>
        <v>244</v>
      </c>
      <c r="BP7" s="86">
        <f>SUM('Plan-JFM'!X30:AC30)</f>
        <v>600</v>
      </c>
      <c r="BQ7" s="86">
        <f>SUM('Plan-JFM'!X52:AC52)</f>
        <v>369</v>
      </c>
      <c r="BR7" s="19">
        <f>SUM('Plan-JFM'!Y74:AD74)</f>
        <v>369</v>
      </c>
    </row>
    <row r="8" spans="1:70">
      <c r="A8" s="24" t="s">
        <v>41</v>
      </c>
      <c r="B8" s="86">
        <f>SUM('Plan-JAS'!AA13:AF13)</f>
        <v>103</v>
      </c>
      <c r="C8" s="87">
        <f>SUM('Plan-JAS'!Z32:AF32)</f>
        <v>103</v>
      </c>
      <c r="D8" s="87">
        <f>SUM('Plan-JAS'!AA51:AF51)</f>
        <v>3</v>
      </c>
      <c r="E8" s="86">
        <f>SUM('Plan-JAS'!AG13:AM13)</f>
        <v>250</v>
      </c>
      <c r="F8" s="86">
        <f>SUM('Plan-JAS'!AG32:AM32)</f>
        <v>400</v>
      </c>
      <c r="G8" s="86">
        <f>SUM('Plan-JAS'!AG51:AM51)</f>
        <v>128</v>
      </c>
      <c r="H8" s="86">
        <f>SUM('Plan-JAS'!AN13:AT13)</f>
        <v>100</v>
      </c>
      <c r="I8" s="86">
        <f>SUM('Plan-JAS'!AO32:AT32)</f>
        <v>400</v>
      </c>
      <c r="J8" s="19">
        <f>SUM('Plan-JAS'!AN51:AT51)</f>
        <v>0</v>
      </c>
      <c r="K8" s="86">
        <f>SUM('Plan-JAS'!AU13:BB13)</f>
        <v>0</v>
      </c>
      <c r="L8" s="86">
        <f>SUM('Plan-JAS'!AU32:BB32)</f>
        <v>268</v>
      </c>
      <c r="M8" s="19">
        <f>SUM('Plan-JAS'!AU51:BB51)</f>
        <v>240</v>
      </c>
      <c r="N8" s="86">
        <f>SUM('Plan-JAS'!BC13:BI13)</f>
        <v>0</v>
      </c>
      <c r="O8" s="86">
        <f>SUM('Plan-JAS'!BC32:BI32)</f>
        <v>0</v>
      </c>
      <c r="P8" s="19">
        <f>SUM('Plan-JAS'!BC51:BI51)</f>
        <v>0</v>
      </c>
      <c r="Q8" s="120">
        <f>SUM('Plan-JAS'!BJ13:BP13)</f>
        <v>0</v>
      </c>
      <c r="R8" s="120">
        <f>SUM('Plan-JAS'!BJ32:BP32)</f>
        <v>0</v>
      </c>
      <c r="S8" s="58">
        <f>SUM('Plan-JAS'!BJ51:BP51)</f>
        <v>0</v>
      </c>
      <c r="T8" s="86">
        <f>SUM('Plan-JAS'!BQ13:BW13)</f>
        <v>0</v>
      </c>
      <c r="U8" s="86">
        <f>SUM('Plan-JAS'!BQ32:BW32)</f>
        <v>32</v>
      </c>
      <c r="V8" s="19">
        <f>SUM('Plan-JAS'!BQ51:BW51)</f>
        <v>32</v>
      </c>
      <c r="W8" s="86">
        <f>SUM('Plan-JAS'!BX13:CG13)</f>
        <v>0</v>
      </c>
      <c r="X8" s="86">
        <f>SUM('Plan-JAS'!BX32:CG32)</f>
        <v>0</v>
      </c>
      <c r="Y8" s="19">
        <f>SUM('Plan-JAS'!BX51:CG51)</f>
        <v>0</v>
      </c>
      <c r="Z8" s="86">
        <f>SUM('Plan-JAS'!CA13:CJ13)</f>
        <v>0</v>
      </c>
      <c r="AA8" s="86">
        <f>SUM('Plan-JAS'!CA32:CJ32)</f>
        <v>0</v>
      </c>
      <c r="AB8" s="19">
        <f>SUM('Plan-JAS'!CA51:CJ51)</f>
        <v>0</v>
      </c>
      <c r="AC8" s="86">
        <f>SUM('Plan-JAS'!CD13:CM13)</f>
        <v>0</v>
      </c>
      <c r="AD8" s="86">
        <f>SUM('Plan-JAS'!CD32:CM32)</f>
        <v>0</v>
      </c>
      <c r="AE8" s="19">
        <f>SUM('Plan-JAS'!CD51:CM51)</f>
        <v>0</v>
      </c>
      <c r="AF8" s="86">
        <f>SUM('Plan-JAS'!CG13:CP13)</f>
        <v>0</v>
      </c>
      <c r="AG8" s="86">
        <f>SUM('Plan-JAS'!CG32:CP32)</f>
        <v>0</v>
      </c>
      <c r="AH8" s="19">
        <f>SUM('Plan-JAS'!CG51:CP51)</f>
        <v>0</v>
      </c>
      <c r="AI8" s="86">
        <f>SUM('Plan-JAS'!CJ13:CS13)</f>
        <v>0</v>
      </c>
      <c r="AJ8" s="86">
        <f>SUM('Plan-JAS'!CJ32:CS32)</f>
        <v>0</v>
      </c>
      <c r="AK8" s="19">
        <f>SUM('Plan-JAS'!CJ51:CS51)</f>
        <v>0</v>
      </c>
      <c r="AL8" s="86">
        <f>SUM('Plan-JAS'!CM13:CV13)</f>
        <v>0</v>
      </c>
      <c r="AM8" s="86">
        <f>SUM('Plan-JAS'!CM32:CV32)</f>
        <v>0</v>
      </c>
      <c r="AN8" s="19">
        <f>SUM('Plan-JAS'!CM51:CV51)</f>
        <v>0</v>
      </c>
      <c r="AO8" s="86">
        <f>SUM('Plan-OND'!BA27:BF27)</f>
        <v>0</v>
      </c>
      <c r="AP8" s="86">
        <f>SUM('Plan-OND'!BA47:BF47)</f>
        <v>0</v>
      </c>
      <c r="AQ8" s="19">
        <f>SUM('Plan-OND'!BA67:BF67)</f>
        <v>0</v>
      </c>
      <c r="AR8" s="86">
        <f>SUM('Plan-OND'!BG27:BM27)</f>
        <v>0</v>
      </c>
      <c r="AS8" s="86">
        <f>SUM('Plan-OND'!BH47:BM47)</f>
        <v>0</v>
      </c>
      <c r="AT8" s="19">
        <f>SUM('Plan-OND'!BH67:BM67)</f>
        <v>71</v>
      </c>
      <c r="AU8" s="86">
        <f>SUM('Plan-OND'!BO27:BT27)</f>
        <v>67</v>
      </c>
      <c r="AV8" s="86">
        <f>SUM('Plan-OND'!BK47:BP47)</f>
        <v>0</v>
      </c>
      <c r="AW8" s="19">
        <f>SUM('Plan-OND'!BO67:BT67)</f>
        <v>0</v>
      </c>
      <c r="AX8" s="86">
        <f>SUM('Plan-OND'!BV27:CA27)</f>
        <v>0</v>
      </c>
      <c r="AY8" s="86">
        <f>SUM('Plan-OND'!BV47:CA47)</f>
        <v>0</v>
      </c>
      <c r="AZ8" s="19">
        <f>SUM('Plan-OND'!BV67:CA67)</f>
        <v>0</v>
      </c>
      <c r="BA8" s="86">
        <f>SUM('Plan-OND'!CC27:CH27)</f>
        <v>0</v>
      </c>
      <c r="BB8" s="86">
        <f>SUM('Plan-OND'!CC47:CH47)</f>
        <v>0</v>
      </c>
      <c r="BC8" s="19">
        <f>SUM('Plan-OND'!CC67:CH67)</f>
        <v>0</v>
      </c>
      <c r="BD8" s="86">
        <f>SUM('Plan-OND'!CI27:CP27)</f>
        <v>150</v>
      </c>
      <c r="BE8" s="86">
        <f>SUM('Plan-OND'!CI47:CP47)</f>
        <v>0</v>
      </c>
      <c r="BF8" s="19">
        <f>SUM('Plan-OND'!CI67:CP67)</f>
        <v>0</v>
      </c>
      <c r="BG8" s="86">
        <f>SUM('Plan-OND'!CQ27:CS27)+SUM('Plan-JFM'!G31:H31)</f>
        <v>100</v>
      </c>
      <c r="BH8" s="86">
        <f>SUM('Plan-OND'!CQ47:CS47)</f>
        <v>0</v>
      </c>
      <c r="BI8" s="19">
        <f>SUM('Plan-OND'!CQ67:CS67)+SUM('Plan-JFM'!G75:H75)</f>
        <v>0</v>
      </c>
      <c r="BJ8" s="86">
        <f>SUM('Plan-JFM'!J31:O31)</f>
        <v>0</v>
      </c>
      <c r="BK8" s="86">
        <f>SUM('Plan-OND'!CT47:CV47)</f>
        <v>0</v>
      </c>
      <c r="BL8" s="19">
        <f>SUM('Plan-JFM'!J75:O75)</f>
        <v>0</v>
      </c>
      <c r="BM8" s="86">
        <f>SUM('Plan-JFM'!Q31:W31)</f>
        <v>0</v>
      </c>
      <c r="BN8" s="86">
        <f>SUM('Plan-OND'!CW47:CY47)</f>
        <v>0</v>
      </c>
      <c r="BO8" s="19">
        <f>SUM('Plan-JFM'!Q75:W75)</f>
        <v>0</v>
      </c>
      <c r="BP8" s="86">
        <f>SUM('Plan-JFM'!X31:AC31)</f>
        <v>250</v>
      </c>
      <c r="BQ8" s="86">
        <f>SUM('Plan-JFM'!X53:AC53)</f>
        <v>0</v>
      </c>
      <c r="BR8" s="19">
        <f>SUM('Plan-JFM'!Y75:AD75)</f>
        <v>0</v>
      </c>
    </row>
    <row r="9" spans="1:70">
      <c r="A9" s="24" t="s">
        <v>119</v>
      </c>
      <c r="B9" s="86">
        <f>SUM('Plan-JAS'!AA14:AF14)</f>
        <v>500</v>
      </c>
      <c r="C9" s="87">
        <f>SUM('Plan-JAS'!Z33:AF33)</f>
        <v>0</v>
      </c>
      <c r="D9" s="87">
        <f>SUM('Plan-JAS'!AA52:AF52)</f>
        <v>0</v>
      </c>
      <c r="E9" s="86">
        <f>SUM('Plan-JAS'!AG14:AM14)</f>
        <v>0</v>
      </c>
      <c r="F9" s="86">
        <f>SUM('Plan-JAS'!AG33:AM33)</f>
        <v>200</v>
      </c>
      <c r="G9" s="86">
        <f>SUM('Plan-JAS'!AG52:AM52)</f>
        <v>0</v>
      </c>
      <c r="H9" s="86">
        <f>SUM('Plan-JAS'!AN14:AT14)</f>
        <v>0</v>
      </c>
      <c r="I9" s="86">
        <f>SUM('Plan-JAS'!AO33:AT33)</f>
        <v>300</v>
      </c>
      <c r="J9" s="19">
        <f>SUM('Plan-JAS'!AN52:AT52)</f>
        <v>50</v>
      </c>
      <c r="K9" s="86">
        <f>SUM('Plan-JAS'!AU14:BB14)</f>
        <v>0</v>
      </c>
      <c r="L9" s="86">
        <f>SUM('Plan-JAS'!AU33:BB33)</f>
        <v>0</v>
      </c>
      <c r="M9" s="19">
        <f>SUM('Plan-JAS'!AU52:BB52)</f>
        <v>350</v>
      </c>
      <c r="N9" s="86">
        <f>SUM('Plan-JAS'!BC14:BI14)</f>
        <v>0</v>
      </c>
      <c r="O9" s="86">
        <f>SUM('Plan-JAS'!BC33:BI33)</f>
        <v>0</v>
      </c>
      <c r="P9" s="19">
        <f>SUM('Plan-JAS'!BC52:BI52)</f>
        <v>0</v>
      </c>
      <c r="Q9" s="120">
        <f>SUM('Plan-JAS'!BJ14:BP14)</f>
        <v>0</v>
      </c>
      <c r="R9" s="120">
        <f>SUM('Plan-JAS'!BJ33:BP33)</f>
        <v>0</v>
      </c>
      <c r="S9" s="58">
        <f>SUM('Plan-JAS'!BJ52:BP52)</f>
        <v>0</v>
      </c>
      <c r="T9" s="86">
        <f>SUM('Plan-JAS'!BQ14:BW14)</f>
        <v>0</v>
      </c>
      <c r="U9" s="86">
        <f>SUM('Plan-JAS'!BQ33:BW33)</f>
        <v>0</v>
      </c>
      <c r="V9" s="19">
        <f>SUM('Plan-JAS'!BQ52:BW52)</f>
        <v>0</v>
      </c>
      <c r="W9" s="86">
        <f>SUM('Plan-JAS'!BX14:CG14)</f>
        <v>0</v>
      </c>
      <c r="X9" s="86">
        <f>SUM('Plan-JAS'!BX33:CG33)</f>
        <v>100</v>
      </c>
      <c r="Y9" s="19">
        <f>SUM('Plan-JAS'!BX52:CG52)</f>
        <v>0</v>
      </c>
      <c r="Z9" s="86">
        <f>SUM('Plan-JAS'!CA14:CJ14)</f>
        <v>0</v>
      </c>
      <c r="AA9" s="86">
        <v>0</v>
      </c>
      <c r="AB9" s="19">
        <f>SUM('Plan-JAS'!CA52:CJ52)</f>
        <v>0</v>
      </c>
      <c r="AC9" s="86">
        <f>SUM('Plan-JAS'!CD14:CM14)</f>
        <v>0</v>
      </c>
      <c r="AD9" s="86">
        <v>0</v>
      </c>
      <c r="AE9" s="19">
        <f>SUM('Plan-JAS'!CD52:CM52)</f>
        <v>0</v>
      </c>
      <c r="AF9" s="86">
        <f>SUM('Plan-JAS'!CG14:CP14)</f>
        <v>0</v>
      </c>
      <c r="AG9" s="86">
        <v>0</v>
      </c>
      <c r="AH9" s="19">
        <f>SUM('Plan-JAS'!CG52:CP52)</f>
        <v>0</v>
      </c>
      <c r="AI9" s="86">
        <f>SUM('Plan-JAS'!CJ14:CS14)</f>
        <v>0</v>
      </c>
      <c r="AJ9" s="86">
        <v>0</v>
      </c>
      <c r="AK9" s="19">
        <f>SUM('Plan-JAS'!CJ52:CS52)</f>
        <v>0</v>
      </c>
      <c r="AL9" s="86">
        <f>SUM('Plan-JAS'!CM14:CV14)</f>
        <v>0</v>
      </c>
      <c r="AM9" s="86">
        <v>0</v>
      </c>
      <c r="AN9" s="19">
        <f>SUM('Plan-JAS'!CM52:CV52)</f>
        <v>0</v>
      </c>
      <c r="AO9" s="86">
        <f>SUM('Plan-OND'!BA28:BF28)</f>
        <v>0</v>
      </c>
      <c r="AP9" s="86">
        <f>SUM('Plan-OND'!BA48:BF48)</f>
        <v>0</v>
      </c>
      <c r="AQ9" s="19">
        <f>SUM('Plan-OND'!BA68:BF68)</f>
        <v>0</v>
      </c>
      <c r="AR9" s="86">
        <f>SUM('Plan-OND'!BG28:BM28)</f>
        <v>0</v>
      </c>
      <c r="AS9" s="86">
        <f>SUM('Plan-OND'!BH48:BM48)</f>
        <v>0</v>
      </c>
      <c r="AT9" s="19">
        <f>SUM('Plan-OND'!BH68:BM68)</f>
        <v>0</v>
      </c>
      <c r="AU9" s="86">
        <f>SUM('Plan-OND'!BO28:BT28)</f>
        <v>0</v>
      </c>
      <c r="AV9" s="86">
        <f>SUM('Plan-OND'!BK48:BP48)</f>
        <v>0</v>
      </c>
      <c r="AW9" s="19">
        <f>SUM('Plan-OND'!BO68:BT68)</f>
        <v>50</v>
      </c>
      <c r="AX9" s="86">
        <f>SUM('Plan-OND'!BV28:CA28)</f>
        <v>0</v>
      </c>
      <c r="AY9" s="86">
        <f>SUM('Plan-OND'!BV48:CA48)</f>
        <v>0</v>
      </c>
      <c r="AZ9" s="19">
        <f>SUM('Plan-OND'!BV68:CA68)</f>
        <v>0</v>
      </c>
      <c r="BA9" s="86">
        <f>SUM('Plan-OND'!CC28:CH28)</f>
        <v>0</v>
      </c>
      <c r="BB9" s="86">
        <f>SUM('Plan-OND'!CC48:CH48)</f>
        <v>0</v>
      </c>
      <c r="BC9" s="19">
        <f>SUM('Plan-OND'!CC68:CH68)</f>
        <v>0</v>
      </c>
      <c r="BD9" s="86">
        <f>SUM('Plan-OND'!CI28:CP28)</f>
        <v>0</v>
      </c>
      <c r="BE9" s="86">
        <f>SUM('Plan-OND'!CI48:CP48)</f>
        <v>0</v>
      </c>
      <c r="BF9" s="19">
        <f>SUM('Plan-OND'!CI68:CP68)</f>
        <v>0</v>
      </c>
      <c r="BG9" s="86">
        <f>SUM('Plan-OND'!CQ28:CS28)+SUM('Plan-JFM'!G32:H32)</f>
        <v>250</v>
      </c>
      <c r="BH9" s="86">
        <f>SUM('Plan-OND'!CQ48:CS48)</f>
        <v>0</v>
      </c>
      <c r="BI9" s="19">
        <f>SUM('Plan-OND'!CQ68:CS68)+SUM('Plan-JFM'!G76:H76)</f>
        <v>0</v>
      </c>
      <c r="BJ9" s="86">
        <f>SUM('Plan-JFM'!J32:O32)</f>
        <v>0</v>
      </c>
      <c r="BK9" s="86">
        <f>SUM('Plan-OND'!CT48:CV48)</f>
        <v>0</v>
      </c>
      <c r="BL9" s="19">
        <f>SUM('Plan-JFM'!J76:O76)</f>
        <v>0</v>
      </c>
      <c r="BM9" s="86">
        <f>SUM('Plan-JFM'!Q32:W32)</f>
        <v>0</v>
      </c>
      <c r="BN9" s="86">
        <f>SUM('Plan-OND'!CW48:CY48)</f>
        <v>0</v>
      </c>
      <c r="BO9" s="19">
        <f>SUM('Plan-JFM'!Q76:W76)</f>
        <v>0</v>
      </c>
      <c r="BP9" s="86">
        <f>SUM('Plan-JFM'!X32:AC32)</f>
        <v>250</v>
      </c>
      <c r="BQ9" s="86">
        <f>SUM('Plan-JFM'!X54:AC54)</f>
        <v>0</v>
      </c>
      <c r="BR9" s="19">
        <f>SUM('Plan-JFM'!Y76:AD76)</f>
        <v>0</v>
      </c>
    </row>
    <row r="10" spans="1:70">
      <c r="A10" s="24" t="s">
        <v>44</v>
      </c>
      <c r="B10" s="86">
        <f>SUM('Plan-JAS'!AA15:AF15)</f>
        <v>0</v>
      </c>
      <c r="C10" s="87">
        <f>SUM('Plan-JAS'!Z34:AF34)</f>
        <v>0</v>
      </c>
      <c r="D10" s="87">
        <f>SUM('Plan-JAS'!AA53:AF53)</f>
        <v>0</v>
      </c>
      <c r="E10" s="86">
        <f>SUM('Plan-JAS'!AG15:AM15)</f>
        <v>250</v>
      </c>
      <c r="F10" s="86">
        <f>SUM('Plan-JAS'!AG34:AM34)</f>
        <v>0</v>
      </c>
      <c r="G10" s="86">
        <f>SUM('Plan-JAS'!AG53:AM53)</f>
        <v>0</v>
      </c>
      <c r="H10" s="86">
        <f>SUM('Plan-JAS'!AN15:AT15)</f>
        <v>350</v>
      </c>
      <c r="I10" s="86">
        <f>SUM('Plan-JAS'!AO34:AT34)</f>
        <v>0</v>
      </c>
      <c r="J10" s="19">
        <f>SUM('Plan-JAS'!AN53:AT53)</f>
        <v>0</v>
      </c>
      <c r="K10" s="86">
        <f>SUM('Plan-JAS'!AU15:BB15)</f>
        <v>0</v>
      </c>
      <c r="L10" s="86">
        <f>SUM('Plan-JAS'!AU34:BB34)</f>
        <v>380</v>
      </c>
      <c r="M10" s="19">
        <f>SUM('Plan-JAS'!AU53:BB53)</f>
        <v>23</v>
      </c>
      <c r="N10" s="86">
        <f>SUM('Plan-JAS'!BC15:BI15)</f>
        <v>0</v>
      </c>
      <c r="O10" s="86">
        <f>SUM('Plan-JAS'!BC34:BI34)</f>
        <v>112</v>
      </c>
      <c r="P10" s="19">
        <f>SUM('Plan-JAS'!BC53:BI53)</f>
        <v>112</v>
      </c>
      <c r="Q10" s="120">
        <f>SUM('Plan-JAS'!BJ15:BP15)</f>
        <v>0</v>
      </c>
      <c r="R10" s="120">
        <f>SUM('Plan-JAS'!BJ34:BP34)</f>
        <v>0</v>
      </c>
      <c r="S10" s="58">
        <f>SUM('Plan-JAS'!BJ53:BP53)</f>
        <v>0</v>
      </c>
      <c r="T10" s="86">
        <f>SUM('Plan-JAS'!BQ15:BW15)</f>
        <v>0</v>
      </c>
      <c r="U10" s="86">
        <f>SUM('Plan-JAS'!BQ34:BW34)</f>
        <v>0</v>
      </c>
      <c r="V10" s="19">
        <f>SUM('Plan-JAS'!BQ53:BW53)</f>
        <v>0</v>
      </c>
      <c r="W10" s="86">
        <f>SUM('Plan-JAS'!BX15:CG15)</f>
        <v>0</v>
      </c>
      <c r="X10" s="86">
        <f>SUM('Plan-JAS'!BX34:CG34)</f>
        <v>465</v>
      </c>
      <c r="Y10" s="19">
        <f>SUM('Plan-JAS'!BX53:CG53)</f>
        <v>315</v>
      </c>
      <c r="Z10" s="86">
        <f>SUM('Plan-OND'!K29:Q29)</f>
        <v>0</v>
      </c>
      <c r="AA10" s="86">
        <v>0</v>
      </c>
      <c r="AB10" s="19">
        <f>SUM('Plan-OND'!K69:Q69)</f>
        <v>50</v>
      </c>
      <c r="AC10" s="86">
        <f>SUM('Plan-OND'!R29:X29)</f>
        <v>0</v>
      </c>
      <c r="AD10" s="86">
        <v>0</v>
      </c>
      <c r="AE10" s="19">
        <v>0</v>
      </c>
      <c r="AF10" s="86">
        <f>SUM('Plan-OND'!U29:AA29)</f>
        <v>0</v>
      </c>
      <c r="AG10" s="86">
        <v>0</v>
      </c>
      <c r="AH10" s="19">
        <v>0</v>
      </c>
      <c r="AI10" s="86">
        <f>SUM('Plan-OND'!X29:AD29)</f>
        <v>0</v>
      </c>
      <c r="AJ10" s="86">
        <v>0</v>
      </c>
      <c r="AK10" s="19">
        <v>0</v>
      </c>
      <c r="AL10" s="86">
        <f>SUM('Plan-OND'!AA29:AG29)</f>
        <v>0</v>
      </c>
      <c r="AM10" s="86">
        <v>0</v>
      </c>
      <c r="AN10" s="19">
        <v>0</v>
      </c>
      <c r="AO10" s="86">
        <f>SUM('Plan-OND'!BA29:BF29)</f>
        <v>0</v>
      </c>
      <c r="AP10" s="86">
        <f>SUM('Plan-OND'!BA49:BF49)</f>
        <v>0</v>
      </c>
      <c r="AQ10" s="19">
        <f>SUM('Plan-OND'!BA69:BF69)</f>
        <v>0</v>
      </c>
      <c r="AR10" s="86">
        <f>SUM('Plan-OND'!BG29:BM29)</f>
        <v>0</v>
      </c>
      <c r="AS10" s="86">
        <f>SUM('Plan-OND'!BH49:BM49)</f>
        <v>0</v>
      </c>
      <c r="AT10" s="19">
        <f>SUM('Plan-OND'!BH69:BM69)</f>
        <v>0</v>
      </c>
      <c r="AU10" s="86">
        <f>SUM('Plan-OND'!BO29:BT29)</f>
        <v>162</v>
      </c>
      <c r="AV10" s="86">
        <f>SUM('Plan-OND'!BK49:BP49)</f>
        <v>0</v>
      </c>
      <c r="AW10" s="19">
        <f>SUM('Plan-OND'!BO69:BT69)</f>
        <v>220</v>
      </c>
      <c r="AX10" s="86">
        <f>SUM('Plan-OND'!BV29:CA29)</f>
        <v>80</v>
      </c>
      <c r="AY10" s="86">
        <f>SUM('Plan-OND'!BV49:CA49)</f>
        <v>0</v>
      </c>
      <c r="AZ10" s="19">
        <f>SUM('Plan-OND'!BV69:CA69)</f>
        <v>0</v>
      </c>
      <c r="BA10" s="86">
        <f>SUM('Plan-OND'!CC29:CH29)</f>
        <v>0</v>
      </c>
      <c r="BB10" s="86">
        <f>SUM('Plan-OND'!CC49:CH49)</f>
        <v>0</v>
      </c>
      <c r="BC10" s="19">
        <f>SUM('Plan-OND'!CC69:CH69)</f>
        <v>0</v>
      </c>
      <c r="BD10" s="86">
        <f>SUM('Plan-OND'!CI29:CP29)</f>
        <v>0</v>
      </c>
      <c r="BE10" s="86">
        <f>SUM('Plan-OND'!CI49:CP49)</f>
        <v>0</v>
      </c>
      <c r="BF10" s="19">
        <f>SUM('Plan-OND'!CI69:CP69)</f>
        <v>0</v>
      </c>
      <c r="BG10" s="86">
        <f>SUM('Plan-OND'!CQ29:CS29)+SUM('Plan-JFM'!G33:H33)</f>
        <v>0</v>
      </c>
      <c r="BH10" s="86">
        <f>SUM('Plan-OND'!CQ49:CS49)</f>
        <v>0</v>
      </c>
      <c r="BI10" s="19">
        <f>SUM('Plan-OND'!CQ69:CS69)+SUM('Plan-JFM'!G77:H77)</f>
        <v>0</v>
      </c>
      <c r="BJ10" s="86">
        <f>SUM('Plan-JFM'!J33:O33)</f>
        <v>0</v>
      </c>
      <c r="BK10" s="86">
        <f>SUM('Plan-OND'!CT49:CV49)</f>
        <v>0</v>
      </c>
      <c r="BL10" s="19">
        <f>SUM('Plan-JFM'!J77:O77)</f>
        <v>0</v>
      </c>
      <c r="BM10" s="86">
        <f>SUM('Plan-JFM'!Q33:W33)</f>
        <v>200</v>
      </c>
      <c r="BN10" s="86">
        <f>SUM('Plan-OND'!CW49:CY49)</f>
        <v>0</v>
      </c>
      <c r="BO10" s="19">
        <f>SUM('Plan-JFM'!Q77:W77)</f>
        <v>0</v>
      </c>
      <c r="BP10" s="86">
        <f>SUM('Plan-JFM'!X33:AC33)</f>
        <v>0</v>
      </c>
      <c r="BQ10" s="86">
        <f>SUM('Plan-JFM'!X55:AC55)</f>
        <v>0</v>
      </c>
      <c r="BR10" s="19">
        <f>SUM('Plan-JFM'!Y77:AD77)</f>
        <v>0</v>
      </c>
    </row>
    <row r="11" spans="1:70">
      <c r="A11" s="24" t="s">
        <v>120</v>
      </c>
      <c r="B11" s="86">
        <f>SUM('Plan-JAS'!AA16:AF16)</f>
        <v>200</v>
      </c>
      <c r="C11" s="87">
        <f>SUM('Plan-JAS'!Z35:AF35)</f>
        <v>0</v>
      </c>
      <c r="D11" s="87">
        <f>SUM('Plan-JAS'!AA54:AF54)</f>
        <v>0</v>
      </c>
      <c r="E11" s="86">
        <f>SUM('Plan-JAS'!AG16:AM16)</f>
        <v>400</v>
      </c>
      <c r="F11" s="86">
        <f>SUM('Plan-JAS'!AG35:AM35)</f>
        <v>0</v>
      </c>
      <c r="G11" s="86">
        <f>SUM('Plan-JAS'!AG54:AM54)</f>
        <v>0</v>
      </c>
      <c r="H11" s="86">
        <f>SUM('Plan-JAS'!AN16:AT16)</f>
        <v>0</v>
      </c>
      <c r="I11" s="86">
        <f>SUM('Plan-JAS'!AO35:AT35)</f>
        <v>300</v>
      </c>
      <c r="J11" s="19">
        <f>SUM('Plan-JAS'!AN54:AT54)</f>
        <v>100</v>
      </c>
      <c r="K11" s="86">
        <f>SUM('Plan-JAS'!AU16:BB16)</f>
        <v>0</v>
      </c>
      <c r="L11" s="86">
        <f>SUM('Plan-JAS'!AU35:BB35)</f>
        <v>0</v>
      </c>
      <c r="M11" s="19">
        <f>SUM('Plan-JAS'!AU54:BB54)</f>
        <v>405</v>
      </c>
      <c r="N11" s="86">
        <f>SUM('Plan-JAS'!BC16:BI16)</f>
        <v>0</v>
      </c>
      <c r="O11" s="86">
        <f>SUM('Plan-JAS'!BC35:BI35)</f>
        <v>0</v>
      </c>
      <c r="P11" s="19">
        <f>SUM('Plan-JAS'!BC54:BI54)</f>
        <v>0</v>
      </c>
      <c r="Q11" s="120">
        <f>SUM('Plan-JAS'!BJ16:BP16)</f>
        <v>0</v>
      </c>
      <c r="R11" s="120">
        <f>SUM('Plan-JAS'!BJ35:BP35)</f>
        <v>0</v>
      </c>
      <c r="S11" s="58">
        <f>SUM('Plan-JAS'!BJ54:BP54)</f>
        <v>0</v>
      </c>
      <c r="T11" s="86">
        <f>SUM('Plan-JAS'!BQ16:BW16)</f>
        <v>0</v>
      </c>
      <c r="U11" s="86">
        <f>SUM('Plan-JAS'!BQ35:BW35)</f>
        <v>0</v>
      </c>
      <c r="V11" s="19">
        <f>SUM('Plan-JAS'!BQ54:BW54)</f>
        <v>0</v>
      </c>
      <c r="W11" s="86">
        <f>SUM('Plan-JAS'!BX16:CG16)</f>
        <v>0</v>
      </c>
      <c r="X11" s="86">
        <f>SUM('Plan-JAS'!BX35:CG35)</f>
        <v>95</v>
      </c>
      <c r="Y11" s="19">
        <f>SUM('Plan-JAS'!BX54:CG54)</f>
        <v>0</v>
      </c>
      <c r="Z11" s="86">
        <f>SUM('Plan-JAS'!CA16:CJ16)</f>
        <v>0</v>
      </c>
      <c r="AA11" s="86">
        <v>0</v>
      </c>
      <c r="AB11" s="19">
        <f>SUM('Plan-JAS'!CA54:CJ54)</f>
        <v>0</v>
      </c>
      <c r="AC11" s="86">
        <f>SUM('Plan-JAS'!CD16:CM16)</f>
        <v>0</v>
      </c>
      <c r="AD11" s="86">
        <v>0</v>
      </c>
      <c r="AE11" s="19">
        <f>SUM('Plan-JAS'!CD54:CM54)</f>
        <v>0</v>
      </c>
      <c r="AF11" s="86">
        <f>SUM('Plan-JAS'!CG16:CP16)</f>
        <v>0</v>
      </c>
      <c r="AG11" s="86">
        <v>0</v>
      </c>
      <c r="AH11" s="19">
        <f>SUM('Plan-JAS'!CG54:CP54)</f>
        <v>0</v>
      </c>
      <c r="AI11" s="86">
        <f>SUM('Plan-JAS'!CJ16:CS16)</f>
        <v>0</v>
      </c>
      <c r="AJ11" s="86">
        <v>0</v>
      </c>
      <c r="AK11" s="19">
        <f>SUM('Plan-JAS'!CJ54:CS54)</f>
        <v>0</v>
      </c>
      <c r="AL11" s="86">
        <f>SUM('Plan-JAS'!CM16:CV16)</f>
        <v>0</v>
      </c>
      <c r="AM11" s="86">
        <v>0</v>
      </c>
      <c r="AN11" s="19">
        <f>SUM('Plan-JAS'!CM54:CV54)</f>
        <v>0</v>
      </c>
      <c r="AO11" s="86">
        <f>SUM('Plan-OND'!BA30:BF30)</f>
        <v>0</v>
      </c>
      <c r="AP11" s="86">
        <f>SUM('Plan-OND'!BA50:BF50)</f>
        <v>0</v>
      </c>
      <c r="AQ11" s="19">
        <f>SUM('Plan-OND'!BA70:BF70)</f>
        <v>0</v>
      </c>
      <c r="AR11" s="86">
        <f>SUM('Plan-OND'!BG30:BM30)</f>
        <v>0</v>
      </c>
      <c r="AS11" s="86">
        <f>SUM('Plan-OND'!BH50:BM50)</f>
        <v>0</v>
      </c>
      <c r="AT11" s="19">
        <f>SUM('Plan-OND'!BH70:BM70)</f>
        <v>0</v>
      </c>
      <c r="AU11" s="86">
        <f>SUM('Plan-OND'!BO30:BT30)</f>
        <v>0</v>
      </c>
      <c r="AV11" s="86">
        <f>SUM('Plan-OND'!BK50:BP50)</f>
        <v>0</v>
      </c>
      <c r="AW11" s="19">
        <f>SUM('Plan-OND'!BO70:BT70)</f>
        <v>0</v>
      </c>
      <c r="AX11" s="86">
        <f>SUM('Plan-OND'!BV30:CA30)</f>
        <v>0</v>
      </c>
      <c r="AY11" s="86">
        <f>SUM('Plan-OND'!BV50:CA50)</f>
        <v>0</v>
      </c>
      <c r="AZ11" s="19">
        <f>SUM('Plan-OND'!BV70:CA70)</f>
        <v>0</v>
      </c>
      <c r="BA11" s="86">
        <f>SUM('Plan-OND'!CC30:CH30)</f>
        <v>0</v>
      </c>
      <c r="BB11" s="86">
        <f>SUM('Plan-OND'!CC50:CH50)</f>
        <v>0</v>
      </c>
      <c r="BC11" s="19">
        <f>SUM('Plan-OND'!CC70:CH70)</f>
        <v>0</v>
      </c>
      <c r="BD11" s="86">
        <f>SUM('Plan-OND'!CI30:CP30)</f>
        <v>0</v>
      </c>
      <c r="BE11" s="86">
        <f>SUM('Plan-OND'!CI50:CP50)</f>
        <v>0</v>
      </c>
      <c r="BF11" s="19">
        <f>SUM('Plan-OND'!CI70:CP70)</f>
        <v>0</v>
      </c>
      <c r="BG11" s="86">
        <f>SUM('Plan-OND'!CQ30:CS30)+SUM('Plan-JFM'!G34:H34)</f>
        <v>0</v>
      </c>
      <c r="BH11" s="86">
        <f>SUM('Plan-OND'!CQ50:CS50)</f>
        <v>0</v>
      </c>
      <c r="BI11" s="19">
        <f>SUM('Plan-OND'!CQ70:CS70)+SUM('Plan-JFM'!G78:H78)</f>
        <v>0</v>
      </c>
      <c r="BJ11" s="86">
        <f>SUM('Plan-JFM'!J34:O34)</f>
        <v>0</v>
      </c>
      <c r="BK11" s="86">
        <f>SUM('Plan-OND'!CT50:CV50)</f>
        <v>0</v>
      </c>
      <c r="BL11" s="19">
        <f>SUM('Plan-JFM'!J78:O78)</f>
        <v>0</v>
      </c>
      <c r="BM11" s="86">
        <f>SUM('Plan-JFM'!Q34:W34)</f>
        <v>250</v>
      </c>
      <c r="BN11" s="86">
        <f>SUM('Plan-OND'!CW50:CY50)</f>
        <v>0</v>
      </c>
      <c r="BO11" s="19">
        <f>SUM('Plan-JFM'!Q78:W78)</f>
        <v>0</v>
      </c>
      <c r="BP11" s="86">
        <f>SUM('Plan-JFM'!X34:AC34)</f>
        <v>0</v>
      </c>
      <c r="BQ11" s="86">
        <f>SUM('Plan-JFM'!X56:AC56)</f>
        <v>0</v>
      </c>
      <c r="BR11" s="19">
        <f>SUM('Plan-JFM'!Y78:AD78)</f>
        <v>0</v>
      </c>
    </row>
    <row r="12" spans="1:70">
      <c r="A12" s="24" t="s">
        <v>47</v>
      </c>
      <c r="B12" s="86">
        <f>SUM('Plan-JAS'!AA17:AF17)</f>
        <v>0</v>
      </c>
      <c r="C12" s="87">
        <f>SUM('Plan-JAS'!Z36:AF36)</f>
        <v>0</v>
      </c>
      <c r="D12" s="87">
        <f>SUM('Plan-JAS'!AA55:AF55)</f>
        <v>0</v>
      </c>
      <c r="E12" s="86">
        <f>SUM('Plan-JAS'!AG17:AM17)</f>
        <v>0</v>
      </c>
      <c r="F12" s="86">
        <f>SUM('Plan-JAS'!AG36:AM36)</f>
        <v>0</v>
      </c>
      <c r="G12" s="86">
        <f>SUM('Plan-JAS'!AG55:AM55)</f>
        <v>0</v>
      </c>
      <c r="H12" s="86">
        <f>SUM('Plan-JAS'!AN17:AT17)</f>
        <v>0</v>
      </c>
      <c r="I12" s="86">
        <f>SUM('Plan-JAS'!AO36:AT36)</f>
        <v>0</v>
      </c>
      <c r="J12" s="19">
        <f>SUM('Plan-JAS'!AN55:AT55)</f>
        <v>0</v>
      </c>
      <c r="K12" s="86">
        <f>SUM('Plan-JAS'!AU17:BB17)</f>
        <v>0</v>
      </c>
      <c r="L12" s="86">
        <f>SUM('Plan-JAS'!AU36:BB36)</f>
        <v>0</v>
      </c>
      <c r="M12" s="19">
        <f>SUM('Plan-JAS'!AU55:BB55)</f>
        <v>0</v>
      </c>
      <c r="N12" s="86">
        <f>SUM('Plan-JAS'!BC17:BI17)</f>
        <v>0</v>
      </c>
      <c r="O12" s="86">
        <f>SUM('Plan-JAS'!BC36:BI36)</f>
        <v>108</v>
      </c>
      <c r="P12" s="19">
        <f>SUM('Plan-JAS'!BC55:BI55)</f>
        <v>39</v>
      </c>
      <c r="Q12" s="120">
        <f>SUM('Plan-JAS'!BJ17:BP17)</f>
        <v>320</v>
      </c>
      <c r="R12" s="120">
        <f>SUM('Plan-JAS'!BJ36:BP36)</f>
        <v>281</v>
      </c>
      <c r="S12" s="58">
        <f>SUM('Plan-JAS'!BJ55:BP55)</f>
        <v>191</v>
      </c>
      <c r="T12" s="86">
        <f>SUM('Plan-JAS'!BQ17:BW17)</f>
        <v>0</v>
      </c>
      <c r="U12" s="86">
        <f>SUM('Plan-JAS'!BQ36:BW36)</f>
        <v>30</v>
      </c>
      <c r="V12" s="19">
        <f>SUM('Plan-JAS'!BQ55:BW55)</f>
        <v>30</v>
      </c>
      <c r="W12" s="86">
        <f>SUM('Plan-JAS'!BX17:CG17)</f>
        <v>0</v>
      </c>
      <c r="X12" s="86">
        <f>SUM('Plan-JAS'!BX36:CG36)</f>
        <v>60</v>
      </c>
      <c r="Y12" s="19">
        <f>SUM('Plan-JAS'!BX55:CG55)</f>
        <v>60</v>
      </c>
      <c r="Z12" s="86">
        <f>SUM('Plan-JAS'!CA17:CJ17)</f>
        <v>0</v>
      </c>
      <c r="AA12" s="86">
        <v>0</v>
      </c>
      <c r="AB12" s="19">
        <v>0</v>
      </c>
      <c r="AC12" s="86">
        <f>SUM('Plan-JAS'!CD17:CM17)</f>
        <v>0</v>
      </c>
      <c r="AD12" s="86">
        <v>0</v>
      </c>
      <c r="AE12" s="19">
        <v>0</v>
      </c>
      <c r="AF12" s="86">
        <f>SUM('Plan-JAS'!CG17:CP17)</f>
        <v>0</v>
      </c>
      <c r="AG12" s="86">
        <v>0</v>
      </c>
      <c r="AH12" s="19">
        <v>0</v>
      </c>
      <c r="AI12" s="86">
        <f>SUM('Plan-JAS'!CJ17:CS17)</f>
        <v>0</v>
      </c>
      <c r="AJ12" s="86">
        <v>0</v>
      </c>
      <c r="AK12" s="19">
        <v>0</v>
      </c>
      <c r="AL12" s="86">
        <f>SUM('Plan-OND'!AT31:AY31)</f>
        <v>244</v>
      </c>
      <c r="AM12" s="86">
        <v>0</v>
      </c>
      <c r="AN12" s="19">
        <v>0</v>
      </c>
      <c r="AO12" s="86">
        <f>SUM('Plan-OND'!BA31:BF31)</f>
        <v>80</v>
      </c>
      <c r="AP12" s="86">
        <f>SUM('Plan-OND'!BA51:BF51)</f>
        <v>240</v>
      </c>
      <c r="AQ12" s="19">
        <f>SUM('Plan-OND'!BA71:BF71)</f>
        <v>190</v>
      </c>
      <c r="AR12" s="86">
        <f>SUM('Plan-OND'!BG31:BM31)</f>
        <v>104</v>
      </c>
      <c r="AS12" s="86">
        <f>SUM('Plan-OND'!BH51:BM51)</f>
        <v>0</v>
      </c>
      <c r="AT12" s="19">
        <f>SUM('Plan-OND'!BH71:BM71)</f>
        <v>61</v>
      </c>
      <c r="AU12" s="86">
        <f>SUM('Plan-OND'!BO31:BT31)</f>
        <v>40</v>
      </c>
      <c r="AV12" s="86">
        <f>SUM('Plan-OND'!BK51:BP51)</f>
        <v>0</v>
      </c>
      <c r="AW12" s="19">
        <f>SUM('Plan-OND'!BO71:BT71)</f>
        <v>40</v>
      </c>
      <c r="AX12" s="86">
        <f>SUM('Plan-OND'!BV31:CA31)</f>
        <v>0</v>
      </c>
      <c r="AY12" s="86">
        <f>SUM('Plan-OND'!BV51:CA51)</f>
        <v>0</v>
      </c>
      <c r="AZ12" s="19">
        <f>SUM('Plan-OND'!BV71:CA71)</f>
        <v>0</v>
      </c>
      <c r="BA12" s="86">
        <f>SUM('Plan-OND'!CC31:CH31)</f>
        <v>33</v>
      </c>
      <c r="BB12" s="86">
        <f>SUM('Plan-OND'!CC51:CH51)</f>
        <v>0</v>
      </c>
      <c r="BC12" s="19">
        <f>SUM('Plan-OND'!CC71:CH71)</f>
        <v>0</v>
      </c>
      <c r="BD12" s="86">
        <f>SUM('Plan-OND'!CI31:CP31)</f>
        <v>0</v>
      </c>
      <c r="BE12" s="86">
        <f>SUM('Plan-OND'!CI51:CP51)</f>
        <v>0</v>
      </c>
      <c r="BF12" s="19">
        <f>SUM('Plan-OND'!CI71:CP71)</f>
        <v>30</v>
      </c>
      <c r="BG12" s="86">
        <f>SUM('Plan-OND'!CQ31:CS31)+SUM('Plan-JFM'!G35:H35)</f>
        <v>0</v>
      </c>
      <c r="BH12" s="86">
        <f>SUM('Plan-OND'!CQ51:CS51)</f>
        <v>0</v>
      </c>
      <c r="BI12" s="19">
        <f>SUM('Plan-OND'!CQ71:CS71)+SUM('Plan-JFM'!G79:H79)</f>
        <v>0</v>
      </c>
      <c r="BJ12" s="86">
        <f>SUM('Plan-JFM'!J35:O35)</f>
        <v>0</v>
      </c>
      <c r="BK12" s="86">
        <f>SUM('Plan-OND'!CT51:CV51)</f>
        <v>0</v>
      </c>
      <c r="BL12" s="19">
        <f>SUM('Plan-JFM'!J79:O79)</f>
        <v>0</v>
      </c>
      <c r="BM12" s="86">
        <f>SUM('Plan-JFM'!Q35:W35)</f>
        <v>300</v>
      </c>
      <c r="BN12" s="86">
        <f>SUM('Plan-OND'!CW51:CY51)</f>
        <v>0</v>
      </c>
      <c r="BO12" s="19">
        <f>SUM('Plan-JFM'!Q79:W79)</f>
        <v>54</v>
      </c>
      <c r="BP12" s="86">
        <f>SUM('Plan-JFM'!X35:AC35)</f>
        <v>24</v>
      </c>
      <c r="BQ12" s="86">
        <f>SUM('Plan-JFM'!X57:AC57)</f>
        <v>0</v>
      </c>
      <c r="BR12" s="19">
        <f>SUM('Plan-JFM'!Y79:AD79)</f>
        <v>40</v>
      </c>
    </row>
    <row r="13" spans="1:70">
      <c r="A13" s="24" t="s">
        <v>49</v>
      </c>
      <c r="B13" s="86">
        <f>SUM('Plan-JAS'!AA9:AF9)</f>
        <v>0</v>
      </c>
      <c r="C13" s="87">
        <f>SUM('Plan-JAS'!Z28:AF28)</f>
        <v>150</v>
      </c>
      <c r="D13" s="87">
        <f>SUM('Plan-JAS'!AA47:AF47)</f>
        <v>50</v>
      </c>
      <c r="E13" s="86">
        <f>SUM('Plan-JAS'!AG9:AM9)</f>
        <v>0</v>
      </c>
      <c r="F13" s="86">
        <f>SUM('Plan-JAS'!AG28:AM28)</f>
        <v>100</v>
      </c>
      <c r="G13" s="86">
        <f>SUM('Plan-JAS'!AG47:AM47)</f>
        <v>92</v>
      </c>
      <c r="H13" s="86">
        <f>SUM('Plan-JAS'!AN9:AT9)</f>
        <v>800</v>
      </c>
      <c r="I13" s="86">
        <f>SUM('Plan-JAS'!AO28:AT28)</f>
        <v>0</v>
      </c>
      <c r="J13" s="19">
        <f>SUM('Plan-JAS'!AN47:AT47)</f>
        <v>0</v>
      </c>
      <c r="K13" s="86">
        <f>SUM('Plan-JAS'!AU9:BB9)</f>
        <v>0</v>
      </c>
      <c r="L13" s="86">
        <f>SUM('Plan-JAS'!AU28:BB28)</f>
        <v>0</v>
      </c>
      <c r="M13" s="19">
        <f>SUM('Plan-JAS'!AU47:BB47)</f>
        <v>21</v>
      </c>
      <c r="N13" s="86">
        <f>SUM('Plan-JAS'!BC9:BI9)</f>
        <v>0</v>
      </c>
      <c r="O13" s="86">
        <f>SUM('Plan-JAS'!BC28:BI28)</f>
        <v>580</v>
      </c>
      <c r="P13" s="19">
        <f>SUM('Plan-JAS'!BC47:BI47)</f>
        <v>252</v>
      </c>
      <c r="Q13" s="120">
        <f>SUM('Plan-JAS'!BJ9:BP9)</f>
        <v>0</v>
      </c>
      <c r="R13" s="120">
        <f>SUM('Plan-JAS'!BJ28:BP28)</f>
        <v>300</v>
      </c>
      <c r="S13" s="58">
        <f>SUM('Plan-JAS'!BJ47:BP47)</f>
        <v>314</v>
      </c>
      <c r="T13" s="86">
        <f>SUM('Plan-JAS'!BQ9:BW9)</f>
        <v>0</v>
      </c>
      <c r="U13" s="86">
        <f>SUM('Plan-JAS'!BQ28:BW28)</f>
        <v>213</v>
      </c>
      <c r="V13" s="19">
        <f>SUM('Plan-JAS'!BQ47:BW47)</f>
        <v>181</v>
      </c>
      <c r="W13" s="86">
        <f>SUM('Plan-JAS'!BX9:CG9)</f>
        <v>0</v>
      </c>
      <c r="X13" s="86">
        <f>SUM('Plan-JAS'!BX28:CG28)</f>
        <v>40</v>
      </c>
      <c r="Y13" s="19">
        <f>SUM('Plan-JAS'!BX47:CG47)</f>
        <v>29</v>
      </c>
      <c r="Z13" s="86">
        <f>SUM('Plan-JAS'!CA9:CJ9)</f>
        <v>0</v>
      </c>
      <c r="AA13" s="86">
        <v>0</v>
      </c>
      <c r="AB13" s="19">
        <v>0</v>
      </c>
      <c r="AC13" s="86">
        <f>SUM('Plan-OND'!R32:X32)</f>
        <v>300</v>
      </c>
      <c r="AD13" s="86">
        <v>0</v>
      </c>
      <c r="AE13" s="19">
        <f>SUM('Plan-OND'!R72:X72)</f>
        <v>300</v>
      </c>
      <c r="AF13" s="86">
        <f>SUM('Plan-OND'!U32:AA32)</f>
        <v>0</v>
      </c>
      <c r="AG13" s="86">
        <v>0</v>
      </c>
      <c r="AH13" s="19">
        <v>0</v>
      </c>
      <c r="AI13" s="86">
        <f>SUM('Plan-OND'!AM32:AS32)</f>
        <v>300</v>
      </c>
      <c r="AJ13" s="86">
        <v>0</v>
      </c>
      <c r="AK13" s="19">
        <f>SUM('Plan-OND'!AM72:AS72)</f>
        <v>300</v>
      </c>
      <c r="AL13" s="86">
        <v>0</v>
      </c>
      <c r="AM13" s="86">
        <v>0</v>
      </c>
      <c r="AN13" s="19">
        <v>0</v>
      </c>
      <c r="AO13" s="86">
        <f>SUM('Plan-OND'!BA32:BF32)</f>
        <v>0</v>
      </c>
      <c r="AP13" s="86">
        <f>SUM('Plan-OND'!BA52:BF52)</f>
        <v>0</v>
      </c>
      <c r="AQ13" s="19">
        <f>SUM('Plan-OND'!BA72:BF72)</f>
        <v>0</v>
      </c>
      <c r="AR13" s="86">
        <f>SUM('Plan-OND'!BG32:BM32)</f>
        <v>0</v>
      </c>
      <c r="AS13" s="86">
        <f>SUM('Plan-OND'!BH52:BM52)</f>
        <v>0</v>
      </c>
      <c r="AT13" s="19">
        <f>SUM('Plan-OND'!BH72:BM72)</f>
        <v>0</v>
      </c>
      <c r="AU13" s="86">
        <f>SUM('Plan-OND'!BO32:BT32)</f>
        <v>0</v>
      </c>
      <c r="AV13" s="86">
        <f>SUM('Plan-OND'!BK52:BP52)</f>
        <v>0</v>
      </c>
      <c r="AW13" s="19">
        <f>SUM('Plan-OND'!BO72:BT72)</f>
        <v>0</v>
      </c>
      <c r="AX13" s="86">
        <f>SUM('Plan-OND'!BV32:CA32)</f>
        <v>0</v>
      </c>
      <c r="AY13" s="86">
        <f>SUM('Plan-OND'!BV52:CA52)</f>
        <v>0</v>
      </c>
      <c r="AZ13" s="19">
        <f>SUM('Plan-OND'!BV72:CA72)</f>
        <v>20</v>
      </c>
      <c r="BA13" s="86">
        <f>SUM('Plan-OND'!CC32:CH32)</f>
        <v>200</v>
      </c>
      <c r="BB13" s="86">
        <f>SUM('Plan-OND'!CC52:CH52)</f>
        <v>0</v>
      </c>
      <c r="BC13" s="19">
        <f>SUM('Plan-OND'!CC72:CH72)</f>
        <v>103</v>
      </c>
      <c r="BD13" s="86">
        <f>SUM('Plan-OND'!CI32:CP32)</f>
        <v>0</v>
      </c>
      <c r="BE13" s="86">
        <f>SUM('Plan-OND'!CI52:CP52)</f>
        <v>50</v>
      </c>
      <c r="BF13" s="19">
        <f>SUM('Plan-OND'!CI72:CP72)</f>
        <v>9</v>
      </c>
      <c r="BG13" s="86">
        <f>SUM('Plan-OND'!CQ32:CS32)+SUM('Plan-JFM'!G36:H36)</f>
        <v>0</v>
      </c>
      <c r="BH13" s="86">
        <f>SUM('Plan-OND'!CQ52:CS52)</f>
        <v>0</v>
      </c>
      <c r="BI13" s="19">
        <f>SUM('Plan-OND'!CQ72:CS72)+SUM('Plan-JFM'!G80:H80)</f>
        <v>18</v>
      </c>
      <c r="BJ13" s="86">
        <f>SUM('Plan-JFM'!J36:O36)</f>
        <v>20</v>
      </c>
      <c r="BK13" s="86">
        <f>SUM('Plan-OND'!CT52:CV52)</f>
        <v>0</v>
      </c>
      <c r="BL13" s="19">
        <f>SUM('Plan-JFM'!J80:O80)</f>
        <v>0</v>
      </c>
      <c r="BM13" s="86">
        <f>SUM('Plan-JFM'!Q36:W36)</f>
        <v>0</v>
      </c>
      <c r="BN13" s="86">
        <f>SUM('Plan-OND'!CW52:CY52)</f>
        <v>0</v>
      </c>
      <c r="BO13" s="19">
        <f>SUM('Plan-JFM'!Q80:W80)</f>
        <v>20</v>
      </c>
      <c r="BP13" s="86">
        <f>SUM('Plan-JFM'!X36:AC36)</f>
        <v>300</v>
      </c>
      <c r="BQ13" s="86">
        <f>SUM('Plan-JFM'!X58:AC58)</f>
        <v>250</v>
      </c>
      <c r="BR13" s="19">
        <f>SUM('Plan-JFM'!Y80:AD80)</f>
        <v>19</v>
      </c>
    </row>
    <row r="14" spans="1:70">
      <c r="A14" s="24" t="s">
        <v>51</v>
      </c>
      <c r="B14" s="86">
        <f>SUM('Plan-JAS'!AA10:AF10)</f>
        <v>0</v>
      </c>
      <c r="C14" s="87">
        <f>SUM('Plan-JAS'!Z29:AF29)</f>
        <v>150</v>
      </c>
      <c r="D14" s="87">
        <f>SUM('Plan-JAS'!AA48:AF48)</f>
        <v>80</v>
      </c>
      <c r="E14" s="86">
        <f>SUM('Plan-JAS'!AG10:AM10)</f>
        <v>0</v>
      </c>
      <c r="F14" s="86">
        <f>SUM('Plan-JAS'!AG29:AM29)</f>
        <v>100</v>
      </c>
      <c r="G14" s="86">
        <f>SUM('Plan-JAS'!AG48:AM48)</f>
        <v>64</v>
      </c>
      <c r="H14" s="86">
        <f>SUM('Plan-JAS'!AN10:AT10)</f>
        <v>900</v>
      </c>
      <c r="I14" s="86">
        <f>SUM('Plan-JAS'!AO29:AT29)</f>
        <v>0</v>
      </c>
      <c r="J14" s="19">
        <f>SUM('Plan-JAS'!AN48:AT48)</f>
        <v>0</v>
      </c>
      <c r="K14" s="86">
        <f>SUM('Plan-JAS'!AU10:BB10)</f>
        <v>700</v>
      </c>
      <c r="L14" s="86">
        <f>SUM('Plan-JAS'!AU29:BB29)</f>
        <v>0</v>
      </c>
      <c r="M14" s="19">
        <f>SUM('Plan-JAS'!AU48:BB48)</f>
        <v>26</v>
      </c>
      <c r="N14" s="86">
        <f>SUM('Plan-JAS'!BC10:BI10)</f>
        <v>0</v>
      </c>
      <c r="O14" s="86">
        <f>SUM('Plan-JAS'!BC29:BI29)</f>
        <v>1436</v>
      </c>
      <c r="P14" s="19">
        <f>SUM('Plan-JAS'!BC48:BI48)</f>
        <v>954</v>
      </c>
      <c r="Q14" s="120">
        <f>SUM('Plan-JAS'!BJ10:BP10)</f>
        <v>0</v>
      </c>
      <c r="R14" s="120">
        <f>SUM('Plan-JAS'!BJ29:BP29)</f>
        <v>325</v>
      </c>
      <c r="S14" s="58">
        <f>SUM('Plan-JAS'!BJ48:BP48)</f>
        <v>400</v>
      </c>
      <c r="T14" s="86">
        <f>SUM('Plan-JAS'!BQ10:BW10)</f>
        <v>0</v>
      </c>
      <c r="U14" s="86">
        <f>SUM('Plan-JAS'!BQ29:BW29)</f>
        <v>209</v>
      </c>
      <c r="V14" s="19">
        <f>SUM('Plan-JAS'!BQ48:BW48)</f>
        <v>197</v>
      </c>
      <c r="W14" s="86">
        <f>SUM('Plan-JAS'!BX10:CG10)</f>
        <v>0</v>
      </c>
      <c r="X14" s="86">
        <f>SUM('Plan-JAS'!BX29:CG29)</f>
        <v>49</v>
      </c>
      <c r="Y14" s="19">
        <f>SUM('Plan-JAS'!BX48:CG48)</f>
        <v>25</v>
      </c>
      <c r="Z14" s="86">
        <f>SUM('Plan-JAS'!CA10:CJ10)</f>
        <v>0</v>
      </c>
      <c r="AA14" s="86">
        <v>0</v>
      </c>
      <c r="AB14" s="19">
        <v>0</v>
      </c>
      <c r="AC14" s="86">
        <f>SUM('Plan-OND'!R33:X33)</f>
        <v>600</v>
      </c>
      <c r="AD14" s="86">
        <v>0</v>
      </c>
      <c r="AE14" s="19">
        <f>SUM('Plan-OND'!R73:X73)</f>
        <v>150</v>
      </c>
      <c r="AF14" s="86">
        <v>0</v>
      </c>
      <c r="AG14" s="86">
        <v>0</v>
      </c>
      <c r="AH14" s="19">
        <f>SUM('Plan-OND'!Y73:AE73)</f>
        <v>450</v>
      </c>
      <c r="AI14" s="86">
        <f>SUM('Plan-OND'!AM33:AS33)</f>
        <v>400</v>
      </c>
      <c r="AJ14" s="86">
        <v>0</v>
      </c>
      <c r="AK14" s="19">
        <f>SUM('Plan-OND'!AM73:AS73)</f>
        <v>345</v>
      </c>
      <c r="AL14" s="86">
        <f>SUM('Plan-OND'!AT33:AY33)</f>
        <v>100</v>
      </c>
      <c r="AM14" s="86">
        <v>0</v>
      </c>
      <c r="AN14" s="19">
        <f>SUM('Plan-OND'!AT73:AY73)</f>
        <v>155</v>
      </c>
      <c r="AO14" s="86">
        <f>SUM('Plan-OND'!BA33:BF33)</f>
        <v>0</v>
      </c>
      <c r="AP14" s="86">
        <f>SUM('Plan-OND'!BA53:BF53)</f>
        <v>0</v>
      </c>
      <c r="AQ14" s="19">
        <f>SUM('Plan-OND'!BA73:BF73)</f>
        <v>32</v>
      </c>
      <c r="AR14" s="86">
        <f>SUM('Plan-OND'!BG33:BM33)</f>
        <v>0</v>
      </c>
      <c r="AS14" s="86">
        <f>SUM('Plan-OND'!BH53:BM53)</f>
        <v>0</v>
      </c>
      <c r="AT14" s="19">
        <f>SUM('Plan-OND'!BH73:BM73)</f>
        <v>50</v>
      </c>
      <c r="AU14" s="86">
        <f>SUM('Plan-OND'!BO33:BT33)</f>
        <v>0</v>
      </c>
      <c r="AV14" s="86">
        <f>SUM('Plan-OND'!BK53:BP53)</f>
        <v>0</v>
      </c>
      <c r="AW14" s="19">
        <f>SUM('Plan-OND'!BO73:BT73)</f>
        <v>0</v>
      </c>
      <c r="AX14" s="86">
        <f>SUM('Plan-OND'!BV33:CA33)</f>
        <v>0</v>
      </c>
      <c r="AY14" s="86">
        <f>SUM('Plan-OND'!BV53:CA53)</f>
        <v>0</v>
      </c>
      <c r="AZ14" s="19">
        <f>SUM('Plan-OND'!BV73:CA73)</f>
        <v>19</v>
      </c>
      <c r="BA14" s="86">
        <f>SUM('Plan-OND'!CC33:CH33)</f>
        <v>500</v>
      </c>
      <c r="BB14" s="86">
        <f>SUM('Plan-OND'!CC53:CH53)</f>
        <v>0</v>
      </c>
      <c r="BC14" s="19">
        <f>SUM('Plan-OND'!CC73:CH73)</f>
        <v>175</v>
      </c>
      <c r="BD14" s="86">
        <f>SUM('Plan-OND'!CI33:CP33)</f>
        <v>0</v>
      </c>
      <c r="BE14" s="86">
        <f>SUM('Plan-OND'!CI53:CP53)</f>
        <v>399</v>
      </c>
      <c r="BF14" s="19">
        <f>SUM('Plan-OND'!CI73:CP73)</f>
        <v>82</v>
      </c>
      <c r="BG14" s="86">
        <f>SUM('Plan-OND'!CQ33:CS33)+SUM('Plan-JFM'!G37:H37)</f>
        <v>0</v>
      </c>
      <c r="BH14" s="86">
        <f>SUM('Plan-OND'!CQ53:CS53)</f>
        <v>0</v>
      </c>
      <c r="BI14" s="19">
        <f>SUM('Plan-OND'!CQ73:CS73)+SUM('Plan-JFM'!G81:H81)</f>
        <v>0</v>
      </c>
      <c r="BJ14" s="86">
        <f>SUM('Plan-JFM'!J37:O37)</f>
        <v>142</v>
      </c>
      <c r="BK14" s="86">
        <f>SUM('Plan-OND'!CT53:CV53)</f>
        <v>0</v>
      </c>
      <c r="BL14" s="19">
        <f>SUM('Plan-JFM'!J81:O81)</f>
        <v>0</v>
      </c>
      <c r="BM14" s="86">
        <f>SUM('Plan-JFM'!Q37:W37)</f>
        <v>0</v>
      </c>
      <c r="BN14" s="86">
        <f>SUM('Plan-OND'!CW53:CY53)</f>
        <v>0</v>
      </c>
      <c r="BO14" s="19">
        <f>SUM('Plan-JFM'!Q81:W81)</f>
        <v>142</v>
      </c>
      <c r="BP14" s="86">
        <f>SUM('Plan-JFM'!X37:AC37)</f>
        <v>600</v>
      </c>
      <c r="BQ14" s="86">
        <f>SUM('Plan-JFM'!X59:AC59)</f>
        <v>0</v>
      </c>
      <c r="BR14" s="19">
        <f>SUM('Plan-JFM'!Y81:AD81)</f>
        <v>41</v>
      </c>
    </row>
    <row r="15" spans="1:70">
      <c r="A15" s="24" t="s">
        <v>118</v>
      </c>
      <c r="B15" s="86">
        <f>SUM('Plan-JAS'!AA12:AF12)</f>
        <v>0</v>
      </c>
      <c r="C15" s="87">
        <f>SUM('Plan-JAS'!Z31:AF31)</f>
        <v>0</v>
      </c>
      <c r="D15" s="87">
        <f>SUM('Plan-JAS'!AA50:AF50)</f>
        <v>0</v>
      </c>
      <c r="E15" s="86">
        <f>SUM('Plan-JAS'!AG12:AM12)</f>
        <v>0</v>
      </c>
      <c r="F15" s="86">
        <f>SUM('Plan-JAS'!AG31:AM31)</f>
        <v>0</v>
      </c>
      <c r="G15" s="86">
        <f>SUM('Plan-JAS'!AG50:AM50)</f>
        <v>0</v>
      </c>
      <c r="H15" s="86">
        <f>SUM('Plan-JAS'!AN12:AT12)</f>
        <v>0</v>
      </c>
      <c r="I15" s="86">
        <f>SUM('Plan-JAS'!AO31:AT31)</f>
        <v>0</v>
      </c>
      <c r="J15" s="19">
        <f>SUM('Plan-JAS'!AN50:AT50)</f>
        <v>0</v>
      </c>
      <c r="K15" s="86">
        <f>SUM('Plan-JAS'!AU12:BB12)</f>
        <v>370</v>
      </c>
      <c r="L15" s="86">
        <f>SUM('Plan-JAS'!AU31:BB31)</f>
        <v>500</v>
      </c>
      <c r="M15" s="19">
        <f>SUM('Plan-JAS'!AU50:BB50)</f>
        <v>286</v>
      </c>
      <c r="N15" s="86">
        <f>SUM('Plan-JAS'!BC12:BI12)</f>
        <v>280</v>
      </c>
      <c r="O15" s="86">
        <f>SUM('Plan-JAS'!BC31:BI31)</f>
        <v>90</v>
      </c>
      <c r="P15" s="19">
        <f>SUM('Plan-JAS'!BC50:BI50)</f>
        <v>91</v>
      </c>
      <c r="Q15" s="120">
        <f>SUM('Plan-JAS'!BJ12:BP12)</f>
        <v>0</v>
      </c>
      <c r="R15" s="120">
        <f>SUM('Plan-JAS'!BJ31:BP31)</f>
        <v>274</v>
      </c>
      <c r="S15" s="58">
        <f>SUM('Plan-JAS'!BJ50:BP50)</f>
        <v>211</v>
      </c>
      <c r="T15" s="86">
        <f>SUM('Plan-JAS'!BQ12:BW12)</f>
        <v>0</v>
      </c>
      <c r="U15" s="86">
        <f>SUM('Plan-JAS'!BQ31:BW31)</f>
        <v>62</v>
      </c>
      <c r="V15" s="19">
        <f>SUM('Plan-JAS'!BQ50:BW50)</f>
        <v>0</v>
      </c>
      <c r="W15" s="86">
        <f>SUM('Plan-JAS'!BX12:CG12)</f>
        <v>0</v>
      </c>
      <c r="X15" s="86">
        <f>SUM('Plan-JAS'!BX31:CG31)</f>
        <v>62</v>
      </c>
      <c r="Y15" s="19">
        <f>SUM('Plan-JAS'!BX50:CG50)</f>
        <v>62</v>
      </c>
      <c r="Z15" s="86">
        <f>SUM('Plan-JAS'!CA12:CJ12)</f>
        <v>0</v>
      </c>
      <c r="AA15" s="86">
        <f>SUM('Plan-JAS'!CA31:CJ31)</f>
        <v>0</v>
      </c>
      <c r="AB15" s="19">
        <v>0</v>
      </c>
      <c r="AC15" s="86">
        <f>SUM('Plan-JAS'!CD12:CM12)</f>
        <v>0</v>
      </c>
      <c r="AD15" s="86">
        <f>SUM('Plan-JAS'!CD31:CM31)</f>
        <v>0</v>
      </c>
      <c r="AE15" s="19">
        <v>0</v>
      </c>
      <c r="AF15" s="86">
        <f>SUM('Plan-JAS'!CG12:CP12)</f>
        <v>0</v>
      </c>
      <c r="AG15" s="86">
        <f>SUM('Plan-JAS'!CG31:CP31)</f>
        <v>0</v>
      </c>
      <c r="AH15" s="19">
        <v>0</v>
      </c>
      <c r="AI15" s="86">
        <f>SUM('Plan-JAS'!CJ12:CS12)</f>
        <v>0</v>
      </c>
      <c r="AJ15" s="86">
        <f>SUM('Plan-JAS'!CJ31:CS31)</f>
        <v>0</v>
      </c>
      <c r="AK15" s="19">
        <v>0</v>
      </c>
      <c r="AL15" s="86">
        <f>SUM('Plan-JAS'!CM12:CV12)</f>
        <v>0</v>
      </c>
      <c r="AM15" s="86">
        <f>SUM('Plan-JAS'!CM31:CV31)</f>
        <v>0</v>
      </c>
      <c r="AN15" s="19">
        <v>0</v>
      </c>
      <c r="AO15" s="86">
        <f>SUM('Plan-OND'!BA34:BF34)</f>
        <v>600</v>
      </c>
      <c r="AP15" s="86">
        <f>SUM('Plan-OND'!BA54:BF54)</f>
        <v>70</v>
      </c>
      <c r="AQ15" s="19">
        <f>SUM('Plan-OND'!BA74:BF74)</f>
        <v>0</v>
      </c>
      <c r="AR15" s="86">
        <f>SUM('Plan-OND'!BG34:BM34)</f>
        <v>700</v>
      </c>
      <c r="AS15" s="86">
        <f>SUM('Plan-OND'!BH54:BM54)</f>
        <v>0</v>
      </c>
      <c r="AT15" s="19">
        <f>SUM('Plan-OND'!BH74:BM74)</f>
        <v>230</v>
      </c>
      <c r="AU15" s="86">
        <f>SUM('Plan-OND'!BO34:BT34)</f>
        <v>420</v>
      </c>
      <c r="AV15" s="86">
        <f>SUM('Plan-OND'!BK54:BP54)</f>
        <v>0</v>
      </c>
      <c r="AW15" s="19">
        <f>SUM('Plan-OND'!BO74:BT74)</f>
        <v>212</v>
      </c>
      <c r="AX15" s="86">
        <f>SUM('Plan-OND'!BV34:CA34)</f>
        <v>605</v>
      </c>
      <c r="AY15" s="86">
        <f>SUM('Plan-OND'!BV54:CA54)</f>
        <v>450</v>
      </c>
      <c r="AZ15" s="19">
        <f>SUM('Plan-OND'!BV74:CA74)</f>
        <v>280</v>
      </c>
      <c r="BA15" s="86">
        <f>SUM('Plan-OND'!CC34:CH34)</f>
        <v>0</v>
      </c>
      <c r="BB15" s="86">
        <f>SUM('Plan-OND'!CC54:CH54)</f>
        <v>500</v>
      </c>
      <c r="BC15" s="19">
        <f>SUM('Plan-OND'!CC74:CH74)</f>
        <v>205</v>
      </c>
      <c r="BD15" s="86">
        <f>SUM('Plan-OND'!CI34:CP34)</f>
        <v>0</v>
      </c>
      <c r="BE15" s="86">
        <f>SUM('Plan-OND'!CI54:CP54)</f>
        <v>0</v>
      </c>
      <c r="BF15" s="19">
        <f>SUM('Plan-OND'!CI74:CP74)</f>
        <v>3</v>
      </c>
      <c r="BG15" s="86">
        <f>SUM('Plan-OND'!CQ34:CS34)+SUM('Plan-JFM'!G38:H38)</f>
        <v>0</v>
      </c>
      <c r="BH15" s="86">
        <f>SUM('Plan-OND'!CQ54:CS54)</f>
        <v>0</v>
      </c>
      <c r="BI15" s="19">
        <f>SUM('Plan-OND'!CQ74:CS74)+SUM('Plan-JFM'!G82:H82)</f>
        <v>0</v>
      </c>
      <c r="BJ15" s="86">
        <f>SUM('Plan-JFM'!J38:O38)</f>
        <v>200</v>
      </c>
      <c r="BK15" s="86">
        <f>SUM('Plan-OND'!CT54:CV54)</f>
        <v>0</v>
      </c>
      <c r="BL15" s="19">
        <f>SUM('Plan-JFM'!J82:O82)</f>
        <v>0</v>
      </c>
      <c r="BM15" s="86">
        <f>SUM('Plan-JFM'!Q38:W38)</f>
        <v>75</v>
      </c>
      <c r="BN15" s="86">
        <f>SUM('Plan-OND'!CW54:CY54)</f>
        <v>0</v>
      </c>
      <c r="BO15" s="19">
        <f>SUM('Plan-JFM'!Q82:W82)</f>
        <v>6</v>
      </c>
      <c r="BP15" s="86">
        <f>SUM('Plan-JFM'!X38:AC38)</f>
        <v>100</v>
      </c>
      <c r="BQ15" s="86">
        <f>SUM('Plan-JFM'!X60:AC60)</f>
        <v>269</v>
      </c>
      <c r="BR15" s="19">
        <f>SUM('Plan-JFM'!Y82:AD82)</f>
        <v>248</v>
      </c>
    </row>
    <row r="16" spans="1:70">
      <c r="A16" s="24" t="s">
        <v>29</v>
      </c>
      <c r="B16" s="86">
        <f>SUM('Plan-JAS'!AA18:AF18)</f>
        <v>0</v>
      </c>
      <c r="C16" s="87">
        <f>SUM('Plan-JAS'!Z37:AF37)</f>
        <v>0</v>
      </c>
      <c r="D16" s="87">
        <f>SUM('Plan-JAS'!AA56:AF56)</f>
        <v>0</v>
      </c>
      <c r="E16" s="86">
        <f>SUM('Plan-JAS'!AG18:AM18)</f>
        <v>0</v>
      </c>
      <c r="F16" s="86">
        <f>SUM('Plan-JAS'!AG37:AM37)</f>
        <v>0</v>
      </c>
      <c r="G16" s="86">
        <f>SUM('Plan-JAS'!AG56:AM56)</f>
        <v>0</v>
      </c>
      <c r="H16" s="86">
        <f>SUM('Plan-JAS'!AN18:AT18)</f>
        <v>0</v>
      </c>
      <c r="I16" s="86">
        <f>SUM('Plan-JAS'!AO37:AT37)</f>
        <v>0</v>
      </c>
      <c r="J16" s="19">
        <f>SUM('Plan-JAS'!AN56:AT56)</f>
        <v>0</v>
      </c>
      <c r="K16" s="86">
        <f>SUM('Plan-JAS'!AU18:BB18)</f>
        <v>0</v>
      </c>
      <c r="L16" s="86">
        <f>SUM('Plan-JAS'!AU37:BB37)</f>
        <v>0</v>
      </c>
      <c r="M16" s="19">
        <f>SUM('Plan-JAS'!AU56:BB56)</f>
        <v>0</v>
      </c>
      <c r="N16" s="86">
        <f>SUM('Plan-JAS'!BC18:BI18)</f>
        <v>0</v>
      </c>
      <c r="O16" s="86">
        <f>SUM('Plan-JAS'!BC37:BI37)</f>
        <v>0</v>
      </c>
      <c r="P16" s="19">
        <f>SUM('Plan-JAS'!BC56:BI56)</f>
        <v>0</v>
      </c>
      <c r="Q16" s="120">
        <f>SUM('Plan-JAS'!BJ18:BP18)</f>
        <v>0</v>
      </c>
      <c r="R16" s="120">
        <f>SUM('Plan-JAS'!BJ37:BP37)</f>
        <v>0</v>
      </c>
      <c r="S16" s="58">
        <f>SUM('Plan-JAS'!BJ56:BP56)</f>
        <v>0</v>
      </c>
      <c r="T16" s="86">
        <f>SUM('Plan-JAS'!BQ18:BW18)</f>
        <v>0</v>
      </c>
      <c r="U16" s="86">
        <f>SUM('Plan-JAS'!BQ37:BW37)</f>
        <v>0</v>
      </c>
      <c r="V16" s="19">
        <f>SUM('Plan-JAS'!BQ56:BW56)</f>
        <v>0</v>
      </c>
      <c r="W16" s="86">
        <f>SUM('Plan-JAS'!BX18:CG18)</f>
        <v>0</v>
      </c>
      <c r="X16" s="86">
        <f>SUM('Plan-JAS'!BX37:CG37)</f>
        <v>0</v>
      </c>
      <c r="Y16" s="19">
        <f>SUM('Plan-JAS'!BX56:CG56)</f>
        <v>0</v>
      </c>
      <c r="Z16" s="86">
        <f>SUM('Plan-JAS'!CA18:CJ18)</f>
        <v>0</v>
      </c>
      <c r="AA16" s="86">
        <f>SUM('Plan-JAS'!CA37:CJ37)</f>
        <v>0</v>
      </c>
      <c r="AB16" s="19">
        <f>SUM('Plan-JAS'!CA56:CJ56)</f>
        <v>0</v>
      </c>
      <c r="AC16" s="86">
        <f>SUM('Plan-JAS'!CD18:CM18)</f>
        <v>0</v>
      </c>
      <c r="AD16" s="86">
        <f>SUM('Plan-JAS'!CD37:CM37)</f>
        <v>0</v>
      </c>
      <c r="AE16" s="19">
        <f>SUM('Plan-JAS'!CD56:CM56)</f>
        <v>0</v>
      </c>
      <c r="AF16" s="86">
        <f>SUM('Plan-JAS'!CG18:CP18)</f>
        <v>0</v>
      </c>
      <c r="AG16" s="86">
        <f>SUM('Plan-JAS'!CG37:CP37)</f>
        <v>0</v>
      </c>
      <c r="AH16" s="19">
        <f>SUM('Plan-JAS'!CG56:CP56)</f>
        <v>0</v>
      </c>
      <c r="AI16" s="86">
        <f>SUM('Plan-JAS'!CJ18:CS18)</f>
        <v>0</v>
      </c>
      <c r="AJ16" s="86">
        <f>SUM('Plan-JAS'!CJ37:CS37)</f>
        <v>0</v>
      </c>
      <c r="AK16" s="19">
        <f>SUM('Plan-JAS'!CJ56:CS56)</f>
        <v>0</v>
      </c>
      <c r="AL16" s="86">
        <f>SUM('Plan-JAS'!CM18:CV18)</f>
        <v>0</v>
      </c>
      <c r="AM16" s="86">
        <f>SUM('Plan-JAS'!CM37:CV37)</f>
        <v>0</v>
      </c>
      <c r="AN16" s="19">
        <f>SUM('Plan-JAS'!CM56:CV56)</f>
        <v>0</v>
      </c>
      <c r="AO16" s="86">
        <f>SUM('Plan-OND'!BA35:BF35)</f>
        <v>0</v>
      </c>
      <c r="AP16" s="86">
        <f>SUM('Plan-OND'!BA55:BF55)</f>
        <v>0</v>
      </c>
      <c r="AQ16" s="19">
        <f>SUM('Plan-OND'!BA75:BF75)</f>
        <v>0</v>
      </c>
      <c r="AR16" s="86">
        <f>SUM('Plan-OND'!BG35:BM35)</f>
        <v>0</v>
      </c>
      <c r="AS16" s="86">
        <f>SUM('Plan-OND'!BH55:BM55)</f>
        <v>0</v>
      </c>
      <c r="AT16" s="19">
        <f>SUM('Plan-OND'!BH75:BM75)</f>
        <v>0</v>
      </c>
      <c r="AU16" s="86">
        <f>SUM('Plan-OND'!BO35:BT35)</f>
        <v>0</v>
      </c>
      <c r="AV16" s="86">
        <f>SUM('Plan-OND'!BK55:BP55)</f>
        <v>0</v>
      </c>
      <c r="AW16" s="19">
        <f>SUM('Plan-OND'!BO75:BT75)</f>
        <v>0</v>
      </c>
      <c r="AX16" s="86">
        <f>SUM('Plan-OND'!BV35:CA35)</f>
        <v>0</v>
      </c>
      <c r="AY16" s="86">
        <f>SUM('Plan-OND'!BV55:CA55)</f>
        <v>0</v>
      </c>
      <c r="AZ16" s="19">
        <f>SUM('Plan-OND'!BV75:CA75)</f>
        <v>0</v>
      </c>
      <c r="BA16" s="86">
        <f>SUM('Plan-OND'!CC35:CH35)</f>
        <v>0</v>
      </c>
      <c r="BB16" s="86">
        <f>SUM('Plan-OND'!CC55:CH55)</f>
        <v>0</v>
      </c>
      <c r="BC16" s="19">
        <f>SUM('Plan-OND'!CC75:CH75)</f>
        <v>0</v>
      </c>
      <c r="BD16" s="86">
        <f>SUM('Plan-OND'!CI35:CP35)</f>
        <v>480</v>
      </c>
      <c r="BE16" s="86">
        <f>SUM('Plan-OND'!CI55:CP55)</f>
        <v>0</v>
      </c>
      <c r="BF16" s="19">
        <f>SUM('Plan-OND'!CI75:CP75)</f>
        <v>0</v>
      </c>
      <c r="BG16" s="86">
        <f>SUM('Plan-OND'!CQ35:CS35)+SUM('Plan-JFM'!G39:H39)</f>
        <v>0</v>
      </c>
      <c r="BH16" s="86">
        <f>SUM('Plan-OND'!CQ55:CS55)</f>
        <v>0</v>
      </c>
      <c r="BI16" s="19">
        <f>SUM('Plan-OND'!CQ75:CS75)+SUM('Plan-JFM'!G83:H83)</f>
        <v>0</v>
      </c>
      <c r="BJ16" s="86">
        <f>SUM('Plan-JFM'!J39:O39)</f>
        <v>200</v>
      </c>
      <c r="BK16" s="86">
        <f>SUM('Plan-OND'!CT55:CV55)</f>
        <v>0</v>
      </c>
      <c r="BL16" s="19">
        <f>SUM('Plan-JFM'!J83:O83)</f>
        <v>0</v>
      </c>
      <c r="BM16" s="86">
        <f>SUM('Plan-JFM'!Q39:W39)</f>
        <v>300</v>
      </c>
      <c r="BN16" s="86">
        <f>SUM('Plan-OND'!CW55:CY55)</f>
        <v>0</v>
      </c>
      <c r="BO16" s="19">
        <f>SUM('Plan-JFM'!Q83:W83)</f>
        <v>0</v>
      </c>
      <c r="BP16" s="86">
        <f>SUM('Plan-JFM'!X39:AC39)</f>
        <v>125</v>
      </c>
      <c r="BQ16" s="86">
        <f>SUM('Plan-JFM'!X61:AC61)</f>
        <v>250</v>
      </c>
      <c r="BR16" s="19">
        <f>SUM('Plan-JFM'!Y83:AD83)</f>
        <v>88</v>
      </c>
    </row>
    <row r="17" spans="1:70">
      <c r="A17" s="24" t="s">
        <v>22</v>
      </c>
      <c r="B17" s="86">
        <f>SUM('Plan-JAS'!AA19:AF19)</f>
        <v>0</v>
      </c>
      <c r="C17" s="87">
        <f>SUM('Plan-JAS'!Z38:AF38)</f>
        <v>0</v>
      </c>
      <c r="D17" s="87">
        <f>SUM('Plan-JAS'!AA57:AF57)</f>
        <v>0</v>
      </c>
      <c r="E17" s="86">
        <f>SUM('Plan-JAS'!AG19:AM19)</f>
        <v>0</v>
      </c>
      <c r="F17" s="86">
        <f>SUM('Plan-JAS'!AG38:AM38)</f>
        <v>0</v>
      </c>
      <c r="G17" s="86">
        <f>SUM('Plan-JAS'!AG57:AM57)</f>
        <v>0</v>
      </c>
      <c r="H17" s="86">
        <f>SUM('Plan-JAS'!AN19:AT19)</f>
        <v>150</v>
      </c>
      <c r="I17" s="86">
        <f>SUM('Plan-JAS'!AO38:AT38)</f>
        <v>0</v>
      </c>
      <c r="J17" s="19">
        <f>SUM('Plan-JAS'!AN57:AT57)</f>
        <v>0</v>
      </c>
      <c r="K17" s="86">
        <f>SUM('Plan-JAS'!AU19:BB19)</f>
        <v>0</v>
      </c>
      <c r="L17" s="86">
        <f>SUM('Plan-JAS'!AU38:BB38)</f>
        <v>0</v>
      </c>
      <c r="M17" s="19">
        <f>SUM('Plan-JAS'!AU57:BB57)</f>
        <v>0</v>
      </c>
      <c r="N17" s="86">
        <f>SUM('Plan-JAS'!BC19:BI19)</f>
        <v>0</v>
      </c>
      <c r="O17" s="86">
        <f>SUM('Plan-JAS'!BC38:BI38)</f>
        <v>0</v>
      </c>
      <c r="P17" s="19">
        <f>SUM('Plan-JAS'!BC57:BI57)</f>
        <v>0</v>
      </c>
      <c r="Q17" s="120">
        <f>SUM('Plan-JAS'!BJ19:BP19)</f>
        <v>0</v>
      </c>
      <c r="R17" s="120">
        <f>SUM('Plan-JAS'!BJ38:BP38)</f>
        <v>0</v>
      </c>
      <c r="S17" s="58">
        <f>SUM('Plan-JAS'!BJ57:BP57)</f>
        <v>0</v>
      </c>
      <c r="T17" s="86">
        <f>SUM('Plan-JAS'!BQ19:BW19)</f>
        <v>0</v>
      </c>
      <c r="U17" s="86">
        <f>SUM('Plan-JAS'!BQ38:BW38)</f>
        <v>130</v>
      </c>
      <c r="V17" s="19">
        <f>SUM('Plan-JAS'!BQ57:BW57)</f>
        <v>0</v>
      </c>
      <c r="W17" s="86">
        <f>SUM('Plan-JAS'!BX19:CG19)</f>
        <v>0</v>
      </c>
      <c r="X17" s="86">
        <f>SUM('Plan-JAS'!BX38:CG38)</f>
        <v>120</v>
      </c>
      <c r="Y17" s="19">
        <f>SUM('Plan-JAS'!BX57:CG57)</f>
        <v>120</v>
      </c>
      <c r="Z17" s="86">
        <f>SUM('Plan-JAS'!CA19:CJ19)</f>
        <v>0</v>
      </c>
      <c r="AA17" s="86">
        <f>SUM('Plan-JAS'!CA38:CJ38)</f>
        <v>0</v>
      </c>
      <c r="AB17" s="19">
        <v>0</v>
      </c>
      <c r="AC17" s="86">
        <f>SUM('Plan-JAS'!CD19:CM19)</f>
        <v>0</v>
      </c>
      <c r="AD17" s="86">
        <f>SUM('Plan-JAS'!CD38:CM38)</f>
        <v>0</v>
      </c>
      <c r="AE17" s="19">
        <v>0</v>
      </c>
      <c r="AF17" s="86">
        <f>SUM('Plan-JAS'!CG19:CP19)</f>
        <v>0</v>
      </c>
      <c r="AG17" s="86">
        <f>SUM('Plan-JAS'!CG38:CP38)</f>
        <v>0</v>
      </c>
      <c r="AH17" s="19">
        <v>0</v>
      </c>
      <c r="AI17" s="86">
        <f>SUM('Plan-JAS'!CJ19:CS19)</f>
        <v>0</v>
      </c>
      <c r="AJ17" s="86">
        <f>SUM('Plan-JAS'!CJ38:CS38)</f>
        <v>0</v>
      </c>
      <c r="AK17" s="19">
        <v>0</v>
      </c>
      <c r="AL17" s="86">
        <f>SUM('Plan-JAS'!CM19:CV19)</f>
        <v>0</v>
      </c>
      <c r="AM17" s="86">
        <f>SUM('Plan-JAS'!CM38:CV38)</f>
        <v>0</v>
      </c>
      <c r="AN17" s="19">
        <v>0</v>
      </c>
      <c r="AO17" s="86">
        <f>SUM('Plan-OND'!BA36:BF36)</f>
        <v>0</v>
      </c>
      <c r="AP17" s="86">
        <f>SUM('Plan-OND'!BA56:BF56)</f>
        <v>0</v>
      </c>
      <c r="AQ17" s="19">
        <f>SUM('Plan-OND'!BA76:BF76)</f>
        <v>0</v>
      </c>
      <c r="AR17" s="86">
        <f>SUM('Plan-OND'!BG36:BM36)</f>
        <v>0</v>
      </c>
      <c r="AS17" s="86">
        <f>SUM('Plan-OND'!BH56:BM56)</f>
        <v>0</v>
      </c>
      <c r="AT17" s="19">
        <f>SUM('Plan-OND'!BH76:BM76)</f>
        <v>0</v>
      </c>
      <c r="AU17" s="86">
        <f>SUM('Plan-OND'!BO36:BT36)</f>
        <v>30</v>
      </c>
      <c r="AV17" s="86">
        <f>SUM('Plan-OND'!BK56:BP56)</f>
        <v>0</v>
      </c>
      <c r="AW17" s="19">
        <f>SUM('Plan-OND'!BO76:BT76)</f>
        <v>0</v>
      </c>
      <c r="AX17" s="86">
        <f>SUM('Plan-OND'!BV36:CA36)</f>
        <v>0</v>
      </c>
      <c r="AY17" s="86">
        <f>SUM('Plan-OND'!BV56:CA56)</f>
        <v>0</v>
      </c>
      <c r="AZ17" s="19">
        <f>SUM('Plan-OND'!BV76:CA76)</f>
        <v>0</v>
      </c>
      <c r="BA17" s="86">
        <f>SUM('Plan-OND'!CC36:CH36)</f>
        <v>0</v>
      </c>
      <c r="BB17" s="86">
        <f>SUM('Plan-OND'!CC56:CH56)</f>
        <v>0</v>
      </c>
      <c r="BC17" s="19">
        <f>SUM('Plan-OND'!CC76:CH76)</f>
        <v>23</v>
      </c>
      <c r="BD17" s="86">
        <f>SUM('Plan-OND'!CI36:CP36)</f>
        <v>300</v>
      </c>
      <c r="BE17" s="86">
        <f>SUM('Plan-OND'!CI56:CP56)</f>
        <v>0</v>
      </c>
      <c r="BF17" s="19">
        <f>SUM('Plan-OND'!CI76:CP76)</f>
        <v>7</v>
      </c>
      <c r="BG17" s="86">
        <f>SUM('Plan-OND'!CQ36:CS36)+SUM('Plan-JFM'!G40:H40)</f>
        <v>360</v>
      </c>
      <c r="BH17" s="86">
        <f>SUM('Plan-OND'!CQ56:CS56)</f>
        <v>0</v>
      </c>
      <c r="BI17" s="19">
        <f>SUM('Plan-OND'!CQ76:CS76)+SUM('Plan-JFM'!G84:H84)</f>
        <v>0</v>
      </c>
      <c r="BJ17" s="86">
        <f>SUM('Plan-JFM'!J40:O40)</f>
        <v>300</v>
      </c>
      <c r="BK17" s="86">
        <f>SUM('Plan-OND'!CT56:CV56)</f>
        <v>0</v>
      </c>
      <c r="BL17" s="19">
        <f>SUM('Plan-JFM'!J84:O84)</f>
        <v>70</v>
      </c>
      <c r="BM17" s="86">
        <f>SUM('Plan-JFM'!Q40:W40)</f>
        <v>300</v>
      </c>
      <c r="BN17" s="86">
        <f>SUM('Plan-OND'!CW56:CY56)</f>
        <v>0</v>
      </c>
      <c r="BO17" s="19">
        <f>SUM('Plan-JFM'!Q84:W84)</f>
        <v>55</v>
      </c>
      <c r="BP17" s="86">
        <f>SUM('Plan-JFM'!X40:AC40)</f>
        <v>350</v>
      </c>
      <c r="BQ17" s="86">
        <f>SUM('Plan-JFM'!X62:AC62)</f>
        <v>200</v>
      </c>
      <c r="BR17" s="19">
        <f>SUM('Plan-JFM'!Y84:AD84)</f>
        <v>51</v>
      </c>
    </row>
    <row r="18" spans="1:70">
      <c r="A18" s="24" t="s">
        <v>121</v>
      </c>
      <c r="B18" s="86">
        <f>SUM('Plan-JAS'!AA20:AF20)</f>
        <v>0</v>
      </c>
      <c r="C18" s="87">
        <f>SUM('Plan-JAS'!Z39:AF39)</f>
        <v>0</v>
      </c>
      <c r="D18" s="87">
        <f>SUM('Plan-JAS'!AA58:AF58)</f>
        <v>0</v>
      </c>
      <c r="E18" s="86">
        <f>SUM('Plan-JAS'!AG20:AM20)</f>
        <v>210</v>
      </c>
      <c r="F18" s="86">
        <f>SUM('Plan-JAS'!AG39:AM39)</f>
        <v>0</v>
      </c>
      <c r="G18" s="86">
        <f>SUM('Plan-JAS'!AG58:AM58)</f>
        <v>0</v>
      </c>
      <c r="H18" s="86">
        <f>SUM('Plan-JAS'!AN20:AT20)</f>
        <v>80</v>
      </c>
      <c r="I18" s="86">
        <f>SUM('Plan-JAS'!AO39:AT39)</f>
        <v>0</v>
      </c>
      <c r="J18" s="19">
        <f>SUM('Plan-JAS'!AN58:AT58)</f>
        <v>0</v>
      </c>
      <c r="K18" s="86">
        <f>SUM('Plan-JAS'!AU20:BB20)</f>
        <v>0</v>
      </c>
      <c r="L18" s="86">
        <f>SUM('Plan-JAS'!AU39:BB39)</f>
        <v>0</v>
      </c>
      <c r="M18" s="19">
        <f>SUM('Plan-JAS'!AU58:BB58)</f>
        <v>0</v>
      </c>
      <c r="N18" s="86">
        <f>SUM('Plan-JAS'!BC20:BI20)</f>
        <v>0</v>
      </c>
      <c r="O18" s="86">
        <f>SUM('Plan-JAS'!BC39:BI39)</f>
        <v>0</v>
      </c>
      <c r="P18" s="19">
        <f>SUM('Plan-JAS'!BC58:BI58)</f>
        <v>0</v>
      </c>
      <c r="Q18" s="120">
        <f>SUM('Plan-JAS'!BJ20:BP20)</f>
        <v>0</v>
      </c>
      <c r="R18" s="120">
        <f>SUM('Plan-JAS'!BJ39:BP39)</f>
        <v>0</v>
      </c>
      <c r="S18" s="58">
        <f>SUM('Plan-JAS'!BJ58:BP58)</f>
        <v>0</v>
      </c>
      <c r="T18" s="86">
        <f>SUM('Plan-JAS'!BQ20:BW20)</f>
        <v>0</v>
      </c>
      <c r="U18" s="86">
        <f>SUM('Plan-JAS'!BQ39:BW39)</f>
        <v>200</v>
      </c>
      <c r="V18" s="19">
        <f>SUM('Plan-JAS'!BQ58:BW58)</f>
        <v>0</v>
      </c>
      <c r="W18" s="86">
        <f>SUM('Plan-JAS'!BX20:CG20)</f>
        <v>0</v>
      </c>
      <c r="X18" s="86">
        <f>SUM('Plan-JAS'!BX39:CG39)</f>
        <v>290</v>
      </c>
      <c r="Y18" s="19">
        <f>SUM('Plan-JAS'!BX58:CG58)</f>
        <v>220</v>
      </c>
      <c r="Z18" s="86">
        <f>SUM('Plan-JAS'!CA20:CJ20)</f>
        <v>0</v>
      </c>
      <c r="AA18" s="86">
        <v>0</v>
      </c>
      <c r="AB18" s="19">
        <v>0</v>
      </c>
      <c r="AC18" s="86">
        <f>SUM('Plan-JAS'!CD20:CM20)</f>
        <v>0</v>
      </c>
      <c r="AD18" s="86">
        <v>0</v>
      </c>
      <c r="AE18" s="19">
        <v>0</v>
      </c>
      <c r="AF18" s="86">
        <f>SUM('Plan-JAS'!CG20:CP20)</f>
        <v>0</v>
      </c>
      <c r="AG18" s="86">
        <v>0</v>
      </c>
      <c r="AH18" s="19">
        <v>0</v>
      </c>
      <c r="AI18" s="86">
        <f>SUM('Plan-JAS'!CJ20:CS20)</f>
        <v>0</v>
      </c>
      <c r="AJ18" s="86">
        <v>0</v>
      </c>
      <c r="AK18" s="19">
        <v>0</v>
      </c>
      <c r="AL18" s="86">
        <f>SUM('Plan-JAS'!CM20:CV20)</f>
        <v>0</v>
      </c>
      <c r="AM18" s="86">
        <v>0</v>
      </c>
      <c r="AN18" s="19">
        <v>0</v>
      </c>
      <c r="AO18" s="86">
        <f>SUM('Plan-OND'!BA37:BF37)</f>
        <v>0</v>
      </c>
      <c r="AP18" s="86">
        <f>SUM('Plan-OND'!BA57:BF57)</f>
        <v>0</v>
      </c>
      <c r="AQ18" s="19">
        <f>SUM('Plan-OND'!BA77:BF77)</f>
        <v>0</v>
      </c>
      <c r="AR18" s="86">
        <f>SUM('Plan-OND'!BG37:BM37)</f>
        <v>0</v>
      </c>
      <c r="AS18" s="86">
        <f>SUM('Plan-OND'!BH57:BM57)</f>
        <v>0</v>
      </c>
      <c r="AT18" s="19">
        <f>SUM('Plan-OND'!BH77:BM77)</f>
        <v>0</v>
      </c>
      <c r="AU18" s="86">
        <f>SUM('Plan-OND'!BO37:BT37)</f>
        <v>0</v>
      </c>
      <c r="AV18" s="86">
        <f>SUM('Plan-OND'!BK57:BP57)</f>
        <v>0</v>
      </c>
      <c r="AW18" s="19">
        <f>SUM('Plan-OND'!BO77:BT77)</f>
        <v>0</v>
      </c>
      <c r="AX18" s="86">
        <f>SUM('Plan-OND'!BV37:CA37)</f>
        <v>70</v>
      </c>
      <c r="AY18" s="86">
        <f>SUM('Plan-OND'!BV57:CA57)</f>
        <v>0</v>
      </c>
      <c r="AZ18" s="19">
        <f>SUM('Plan-OND'!BV77:CA77)</f>
        <v>0</v>
      </c>
      <c r="BA18" s="86">
        <f>SUM('Plan-OND'!CC37:CH37)</f>
        <v>0</v>
      </c>
      <c r="BB18" s="86">
        <f>SUM('Plan-OND'!CC57:CH57)</f>
        <v>0</v>
      </c>
      <c r="BC18" s="19">
        <f>SUM('Plan-OND'!CC77:CH77)</f>
        <v>0</v>
      </c>
      <c r="BD18" s="86">
        <f>SUM('Plan-OND'!CI37:CP37)</f>
        <v>0</v>
      </c>
      <c r="BE18" s="86">
        <f>SUM('Plan-OND'!CI57:CP57)</f>
        <v>0</v>
      </c>
      <c r="BF18" s="19">
        <f>SUM('Plan-OND'!CI77:CP77)</f>
        <v>40</v>
      </c>
      <c r="BG18" s="86">
        <f>SUM('Plan-OND'!CQ37:CS37)+SUM('Plan-JFM'!G41:H41)</f>
        <v>0</v>
      </c>
      <c r="BH18" s="86">
        <f>SUM('Plan-OND'!CQ57:CS57)</f>
        <v>0</v>
      </c>
      <c r="BI18" s="19">
        <f>SUM('Plan-OND'!CQ77:CS77)+SUM('Plan-JFM'!G85:H85)</f>
        <v>0</v>
      </c>
      <c r="BJ18" s="86">
        <f>SUM('Plan-JFM'!J41:O41)</f>
        <v>0</v>
      </c>
      <c r="BK18" s="86">
        <f>SUM('Plan-OND'!CT57:CV57)</f>
        <v>0</v>
      </c>
      <c r="BL18" s="19">
        <f>SUM('Plan-JFM'!J85:O85)</f>
        <v>0</v>
      </c>
      <c r="BM18" s="86">
        <f>SUM('Plan-JFM'!Q41:W41)</f>
        <v>0</v>
      </c>
      <c r="BN18" s="86">
        <f>SUM('Plan-OND'!CW57:CY57)</f>
        <v>0</v>
      </c>
      <c r="BO18" s="19">
        <f>SUM('Plan-JFM'!Q85:W85)</f>
        <v>0</v>
      </c>
      <c r="BP18" s="86">
        <f>SUM('Plan-JFM'!X41:AC41)</f>
        <v>0</v>
      </c>
      <c r="BQ18" s="86">
        <f>SUM('Plan-JFM'!X63:AC63)</f>
        <v>0</v>
      </c>
      <c r="BR18" s="19">
        <f>SUM('Plan-JFM'!Y85:AD85)</f>
        <v>0</v>
      </c>
    </row>
    <row r="19" spans="1:70">
      <c r="A19" s="24" t="s">
        <v>72</v>
      </c>
      <c r="B19" s="86">
        <f>SUM('Plan-JAS'!AA6:AF6)</f>
        <v>450</v>
      </c>
      <c r="C19" s="87">
        <f>SUM('Plan-JAS'!Z25:AF25)</f>
        <v>350</v>
      </c>
      <c r="D19" s="87">
        <f>SUM('Plan-JAS'!AA44:AF44)</f>
        <v>112</v>
      </c>
      <c r="E19" s="86">
        <f>SUM('Plan-JAS'!AG6:AM6)</f>
        <v>25</v>
      </c>
      <c r="F19" s="86">
        <f>SUM('Plan-JAS'!AG25:AM25)</f>
        <v>300</v>
      </c>
      <c r="G19" s="86">
        <f>SUM('Plan-JAS'!AG44:AM44)</f>
        <v>0</v>
      </c>
      <c r="H19" s="86">
        <f>SUM('Plan-JAS'!AN6:AT6)</f>
        <v>0</v>
      </c>
      <c r="I19" s="86">
        <f>SUM('Plan-JAS'!AO25:AT25)</f>
        <v>300</v>
      </c>
      <c r="J19" s="19">
        <f>SUM('Plan-JAS'!AN44:AT44)</f>
        <v>200</v>
      </c>
      <c r="K19" s="86">
        <f>SUM('Plan-JAS'!AU6:BB6)</f>
        <v>0</v>
      </c>
      <c r="L19" s="86">
        <f>SUM('Plan-JAS'!AU25:BB25)</f>
        <v>127</v>
      </c>
      <c r="M19" s="19">
        <f>SUM('Plan-JAS'!AU44:BB44)</f>
        <v>0</v>
      </c>
      <c r="N19" s="86">
        <f>SUM('Plan-JAS'!BC6:BI6)</f>
        <v>0</v>
      </c>
      <c r="O19" s="86">
        <f>SUM('Plan-JAS'!BC25:BI25)</f>
        <v>0</v>
      </c>
      <c r="P19" s="19">
        <f>SUM('Plan-JAS'!BC44:BI44)</f>
        <v>0</v>
      </c>
      <c r="Q19" s="120">
        <f>SUM('Plan-JAS'!BJ6:BP6)</f>
        <v>0</v>
      </c>
      <c r="R19" s="120">
        <f>SUM('Plan-JAS'!BJ25:BP25)</f>
        <v>0</v>
      </c>
      <c r="S19" s="58">
        <f>SUM('Plan-JAS'!BJ44:BP44)</f>
        <v>0</v>
      </c>
      <c r="T19" s="86">
        <f>SUM('Plan-JAS'!BQ6:BW6)</f>
        <v>0</v>
      </c>
      <c r="U19" s="86">
        <f>SUM('Plan-JAS'!BQ25:BW25)</f>
        <v>0</v>
      </c>
      <c r="V19" s="19">
        <f>SUM('Plan-JAS'!BQ44:BW44)</f>
        <v>0</v>
      </c>
      <c r="W19" s="86">
        <f>SUM('Plan-JAS'!BX6:CG6)</f>
        <v>0</v>
      </c>
      <c r="X19" s="86">
        <f>SUM('Plan-JAS'!BX25:CG25)</f>
        <v>0</v>
      </c>
      <c r="Y19" s="19">
        <f>SUM('Plan-JAS'!BX44:CG44)</f>
        <v>0</v>
      </c>
      <c r="Z19" s="86">
        <f>SUM('Plan-OND'!K38:Q38)</f>
        <v>250</v>
      </c>
      <c r="AA19" s="86">
        <f>SUM('Plan-JAS'!CA25:CJ25)</f>
        <v>0</v>
      </c>
      <c r="AB19" s="19">
        <f>SUM('Plan-OND'!K78:Q78)</f>
        <v>138</v>
      </c>
      <c r="AC19" s="86">
        <v>0</v>
      </c>
      <c r="AD19" s="86">
        <f>SUM('Plan-JAS'!CD25:CM25)</f>
        <v>0</v>
      </c>
      <c r="AE19" s="19">
        <f>SUM('Plan-OND'!R78:X78)</f>
        <v>112</v>
      </c>
      <c r="AF19" s="86">
        <v>0</v>
      </c>
      <c r="AG19" s="86">
        <f>SUM('Plan-JAS'!CG25:CP25)</f>
        <v>0</v>
      </c>
      <c r="AH19" s="19">
        <f>SUM('Plan-OND'!U78:AA78)</f>
        <v>0</v>
      </c>
      <c r="AI19" s="86">
        <v>0</v>
      </c>
      <c r="AJ19" s="86">
        <f>SUM('Plan-JAS'!CJ25:CS25)</f>
        <v>0</v>
      </c>
      <c r="AK19" s="19">
        <f>SUM('Plan-OND'!X78:AD78)</f>
        <v>0</v>
      </c>
      <c r="AL19" s="86">
        <v>0</v>
      </c>
      <c r="AM19" s="86">
        <f>SUM('Plan-JAS'!CM25:CV25)</f>
        <v>0</v>
      </c>
      <c r="AN19" s="19">
        <f>SUM('Plan-OND'!AA78:AG78)</f>
        <v>0</v>
      </c>
      <c r="AO19" s="86">
        <f>SUM('Plan-OND'!BA38:BF38)</f>
        <v>0</v>
      </c>
      <c r="AP19" s="86">
        <f>SUM('Plan-OND'!BA58:BF58)</f>
        <v>0</v>
      </c>
      <c r="AQ19" s="19">
        <f>SUM('Plan-OND'!BA78:BF78)</f>
        <v>0</v>
      </c>
      <c r="AR19" s="86">
        <f>SUM('Plan-OND'!BG38:BM38)</f>
        <v>0</v>
      </c>
      <c r="AS19" s="86">
        <f>SUM('Plan-OND'!BH58:BM58)</f>
        <v>0</v>
      </c>
      <c r="AT19" s="19">
        <f>SUM('Plan-OND'!BH78:BM78)</f>
        <v>0</v>
      </c>
      <c r="AU19" s="86">
        <f>SUM('Plan-OND'!BO38:BT38)</f>
        <v>0</v>
      </c>
      <c r="AV19" s="86">
        <f>SUM('Plan-OND'!BK58:BP58)</f>
        <v>0</v>
      </c>
      <c r="AW19" s="19">
        <f>SUM('Plan-OND'!BO78:BT78)</f>
        <v>0</v>
      </c>
      <c r="AX19" s="86">
        <f>SUM('Plan-OND'!BV38:CA38)</f>
        <v>0</v>
      </c>
      <c r="AY19" s="86">
        <f>SUM('Plan-OND'!BV58:CA58)</f>
        <v>0</v>
      </c>
      <c r="AZ19" s="19">
        <f>SUM('Plan-OND'!BV78:CA78)</f>
        <v>0</v>
      </c>
      <c r="BA19" s="86">
        <f>SUM('Plan-OND'!CC38:CH38)</f>
        <v>0</v>
      </c>
      <c r="BB19" s="86">
        <f>SUM('Plan-OND'!CC58:CH58)</f>
        <v>0</v>
      </c>
      <c r="BC19" s="19">
        <f>SUM('Plan-OND'!CC78:CH78)</f>
        <v>0</v>
      </c>
      <c r="BD19" s="86">
        <f>SUM('Plan-OND'!CI38:CP38)</f>
        <v>0</v>
      </c>
      <c r="BE19" s="86">
        <f>SUM('Plan-OND'!CI58:CP58)</f>
        <v>0</v>
      </c>
      <c r="BF19" s="19">
        <f>SUM('Plan-OND'!CI78:CP78)</f>
        <v>0</v>
      </c>
      <c r="BG19" s="86">
        <f>SUM('Plan-OND'!CQ38:CS38)+SUM('Plan-JFM'!G42:H42)</f>
        <v>0</v>
      </c>
      <c r="BH19" s="86">
        <f>SUM('Plan-OND'!CQ58:CS58)</f>
        <v>0</v>
      </c>
      <c r="BI19" s="19">
        <f>SUM('Plan-OND'!CQ78:CS78)+SUM('Plan-JFM'!G86:H86)</f>
        <v>0</v>
      </c>
      <c r="BJ19" s="86">
        <f>SUM('Plan-JFM'!J42:O42)</f>
        <v>0</v>
      </c>
      <c r="BK19" s="86">
        <f>SUM('Plan-OND'!CT58:CV58)</f>
        <v>0</v>
      </c>
      <c r="BL19" s="19">
        <f>SUM('Plan-JFM'!J86:O86)</f>
        <v>0</v>
      </c>
      <c r="BM19" s="86">
        <f>SUM('Plan-JFM'!Q42:W42)</f>
        <v>0</v>
      </c>
      <c r="BN19" s="86">
        <f>SUM('Plan-OND'!CW58:CY58)</f>
        <v>0</v>
      </c>
      <c r="BO19" s="19">
        <f>SUM('Plan-JFM'!Q86:W86)</f>
        <v>0</v>
      </c>
      <c r="BP19" s="86">
        <f>SUM('Plan-JFM'!X42:AC42)</f>
        <v>200</v>
      </c>
      <c r="BQ19" s="86">
        <f>SUM('Plan-JFM'!X64:AC64)</f>
        <v>0</v>
      </c>
      <c r="BR19" s="19">
        <f>SUM('Plan-JFM'!Y86:AD86)</f>
        <v>0</v>
      </c>
    </row>
    <row r="20" spans="1:70">
      <c r="A20" s="24" t="s">
        <v>61</v>
      </c>
      <c r="B20" s="86">
        <f>SUM('Plan-JAS'!AA7:AF7)</f>
        <v>450</v>
      </c>
      <c r="C20" s="87">
        <f>SUM('Plan-JAS'!Z26:AF26)</f>
        <v>350</v>
      </c>
      <c r="D20" s="87">
        <f>SUM('Plan-JAS'!AA45:AF45)</f>
        <v>0</v>
      </c>
      <c r="E20" s="86">
        <f>SUM('Plan-JAS'!AG7:AM7)</f>
        <v>25</v>
      </c>
      <c r="F20" s="86">
        <f>SUM('Plan-JAS'!AG26:AM26)</f>
        <v>400</v>
      </c>
      <c r="G20" s="86">
        <f>SUM('Plan-JAS'!AG45:AM45)</f>
        <v>111</v>
      </c>
      <c r="H20" s="86">
        <f>SUM('Plan-JAS'!AN7:AT7)</f>
        <v>0</v>
      </c>
      <c r="I20" s="86">
        <f>SUM('Plan-JAS'!AO26:AT26)</f>
        <v>300</v>
      </c>
      <c r="J20" s="19">
        <f>SUM('Plan-JAS'!AN45:AT45)</f>
        <v>301</v>
      </c>
      <c r="K20" s="86">
        <f>SUM('Plan-JAS'!AU7:BB7)</f>
        <v>0</v>
      </c>
      <c r="L20" s="86">
        <f>SUM('Plan-JAS'!AU26:BB26)</f>
        <v>28</v>
      </c>
      <c r="M20" s="19">
        <f>SUM('Plan-JAS'!AU45:BB45)</f>
        <v>0</v>
      </c>
      <c r="N20" s="86">
        <f>SUM('Plan-JAS'!BC7:BI7)</f>
        <v>0</v>
      </c>
      <c r="O20" s="86">
        <f>SUM('Plan-JAS'!BC26:BI26)</f>
        <v>0</v>
      </c>
      <c r="P20" s="19">
        <f>SUM('Plan-JAS'!BC45:BI45)</f>
        <v>0</v>
      </c>
      <c r="Q20" s="120">
        <f>SUM('Plan-JAS'!BJ7:BP7)</f>
        <v>0</v>
      </c>
      <c r="R20" s="120">
        <f>SUM('Plan-JAS'!BJ26:BP26)</f>
        <v>0</v>
      </c>
      <c r="S20" s="58">
        <f>SUM('Plan-JAS'!BJ45:BP45)</f>
        <v>0</v>
      </c>
      <c r="T20" s="86">
        <f>SUM('Plan-JAS'!BQ7:BW7)</f>
        <v>0</v>
      </c>
      <c r="U20" s="86">
        <f>SUM('Plan-JAS'!BQ26:BW26)</f>
        <v>0</v>
      </c>
      <c r="V20" s="19">
        <f>SUM('Plan-JAS'!BQ45:BW45)</f>
        <v>0</v>
      </c>
      <c r="W20" s="86">
        <f>SUM('Plan-JAS'!BX7:CG7)</f>
        <v>0</v>
      </c>
      <c r="X20" s="86">
        <f>SUM('Plan-JAS'!BX26:CG26)</f>
        <v>0</v>
      </c>
      <c r="Y20" s="19">
        <f>SUM('Plan-JAS'!BX45:CG45)</f>
        <v>0</v>
      </c>
      <c r="Z20" s="86">
        <f>SUM('Plan-OND'!K39:Q39)</f>
        <v>150</v>
      </c>
      <c r="AA20" s="86">
        <f>SUM('Plan-JAS'!CA26:CJ26)</f>
        <v>0</v>
      </c>
      <c r="AB20" s="19">
        <f>SUM('Plan-OND'!K79:Q79)</f>
        <v>239</v>
      </c>
      <c r="AC20" s="86">
        <f>SUM('Plan-OND'!R39:X39)</f>
        <v>100</v>
      </c>
      <c r="AD20" s="86">
        <f>SUM('Plan-JAS'!CD26:CM26)</f>
        <v>0</v>
      </c>
      <c r="AE20" s="19">
        <f>SUM('Plan-OND'!R79:X79)</f>
        <v>11</v>
      </c>
      <c r="AF20" s="86">
        <f>SUM('Plan-OND'!U39:AA39)</f>
        <v>0</v>
      </c>
      <c r="AG20" s="86">
        <f>SUM('Plan-JAS'!CG26:CP26)</f>
        <v>0</v>
      </c>
      <c r="AH20" s="19">
        <f>SUM('Plan-OND'!U79:AA79)</f>
        <v>0</v>
      </c>
      <c r="AI20" s="86">
        <f>SUM('Plan-OND'!X39:AD39)</f>
        <v>0</v>
      </c>
      <c r="AJ20" s="86">
        <f>SUM('Plan-JAS'!CJ26:CS26)</f>
        <v>0</v>
      </c>
      <c r="AK20" s="19">
        <f>SUM('Plan-OND'!X79:AD79)</f>
        <v>0</v>
      </c>
      <c r="AL20" s="86">
        <f>SUM('Plan-OND'!AA39:AG39)</f>
        <v>0</v>
      </c>
      <c r="AM20" s="86">
        <f>SUM('Plan-JAS'!CM26:CV26)</f>
        <v>0</v>
      </c>
      <c r="AN20" s="19">
        <f>SUM('Plan-OND'!AA79:AG79)</f>
        <v>0</v>
      </c>
      <c r="AO20" s="86">
        <f>SUM('Plan-OND'!BA39:BF39)</f>
        <v>0</v>
      </c>
      <c r="AP20" s="86">
        <f>SUM('Plan-OND'!BA59:BF59)</f>
        <v>0</v>
      </c>
      <c r="AQ20" s="19">
        <f>SUM('Plan-OND'!BA79:BF79)</f>
        <v>0</v>
      </c>
      <c r="AR20" s="86">
        <f>SUM('Plan-OND'!BG39:BM39)</f>
        <v>0</v>
      </c>
      <c r="AS20" s="86">
        <f>SUM('Plan-OND'!BH59:BM59)</f>
        <v>0</v>
      </c>
      <c r="AT20" s="19">
        <f>SUM('Plan-OND'!BH79:BM79)</f>
        <v>0</v>
      </c>
      <c r="AU20" s="86">
        <f>SUM('Plan-OND'!BO39:BT39)</f>
        <v>0</v>
      </c>
      <c r="AV20" s="86">
        <f>SUM('Plan-OND'!BK59:BP59)</f>
        <v>0</v>
      </c>
      <c r="AW20" s="19">
        <f>SUM('Plan-OND'!BO79:BT79)</f>
        <v>0</v>
      </c>
      <c r="AX20" s="86">
        <f>SUM('Plan-OND'!BV39:CA39)</f>
        <v>0</v>
      </c>
      <c r="AY20" s="86">
        <f>SUM('Plan-OND'!BV59:CA59)</f>
        <v>0</v>
      </c>
      <c r="AZ20" s="19">
        <f>SUM('Plan-OND'!BV79:CA79)</f>
        <v>0</v>
      </c>
      <c r="BA20" s="86">
        <f>SUM('Plan-OND'!CC39:CH39)</f>
        <v>0</v>
      </c>
      <c r="BB20" s="86">
        <f>SUM('Plan-OND'!CC59:CH59)</f>
        <v>0</v>
      </c>
      <c r="BC20" s="19">
        <f>SUM('Plan-OND'!CC79:CH79)</f>
        <v>0</v>
      </c>
      <c r="BD20" s="86">
        <f>SUM('Plan-OND'!CI39:CP39)</f>
        <v>0</v>
      </c>
      <c r="BE20" s="86">
        <f>SUM('Plan-OND'!CI59:CP59)</f>
        <v>0</v>
      </c>
      <c r="BF20" s="19">
        <f>SUM('Plan-OND'!CI79:CP79)</f>
        <v>0</v>
      </c>
      <c r="BG20" s="86">
        <f>SUM('Plan-OND'!CQ39:CS39)+SUM('Plan-JFM'!G43:H43)</f>
        <v>0</v>
      </c>
      <c r="BH20" s="86">
        <f>SUM('Plan-OND'!CQ59:CS59)</f>
        <v>0</v>
      </c>
      <c r="BI20" s="19">
        <f>SUM('Plan-OND'!CQ79:CS79)+SUM('Plan-JFM'!G87:H87)</f>
        <v>0</v>
      </c>
      <c r="BJ20" s="86">
        <f>SUM('Plan-JFM'!J43:O43)</f>
        <v>0</v>
      </c>
      <c r="BK20" s="86">
        <f>SUM('Plan-OND'!CT59:CV59)</f>
        <v>0</v>
      </c>
      <c r="BL20" s="19">
        <f>SUM('Plan-JFM'!J87:O87)</f>
        <v>0</v>
      </c>
      <c r="BM20" s="86">
        <f>SUM('Plan-JFM'!Q43:W43)</f>
        <v>0</v>
      </c>
      <c r="BN20" s="86">
        <f>SUM('Plan-OND'!CW59:CY59)</f>
        <v>0</v>
      </c>
      <c r="BO20" s="19">
        <f>SUM('Plan-JFM'!Q87:W87)</f>
        <v>0</v>
      </c>
      <c r="BP20" s="86">
        <f>SUM('Plan-JFM'!X43:AC43)</f>
        <v>200</v>
      </c>
      <c r="BQ20" s="86">
        <f>SUM('Plan-JFM'!X65:AC65)</f>
        <v>0</v>
      </c>
      <c r="BR20" s="19">
        <f>SUM('Plan-JFM'!Y87:AD87)</f>
        <v>0</v>
      </c>
    </row>
    <row r="21" spans="1:70">
      <c r="A21" s="24" t="s">
        <v>55</v>
      </c>
      <c r="B21" s="86">
        <f>SUM('Plan-JAS'!AA11:AF11)</f>
        <v>0</v>
      </c>
      <c r="C21" s="87">
        <f>SUM('Plan-JAS'!Z30:AF30)</f>
        <v>0</v>
      </c>
      <c r="D21" s="87">
        <f>SUM('Plan-JAS'!AA49:AF49)</f>
        <v>0</v>
      </c>
      <c r="E21" s="86">
        <f>SUM('Plan-JAS'!AG11:AM11)</f>
        <v>0</v>
      </c>
      <c r="F21" s="86">
        <v>0</v>
      </c>
      <c r="G21" s="86">
        <f>SUM('Plan-JAS'!AG49:AM49)</f>
        <v>0</v>
      </c>
      <c r="H21" s="86">
        <f>SUM('Plan-JAS'!AN11:AT11)</f>
        <v>0</v>
      </c>
      <c r="I21" s="86">
        <f>SUM('Plan-JAS'!AO30:AT30)</f>
        <v>0</v>
      </c>
      <c r="J21" s="19">
        <v>0</v>
      </c>
      <c r="K21" s="86">
        <f>SUM('Plan-JAS'!AU11:BB11)</f>
        <v>0</v>
      </c>
      <c r="L21" s="86">
        <f>SUM('Plan-JAS'!AU30:BB30)</f>
        <v>0</v>
      </c>
      <c r="M21" s="19">
        <f>SUM('Plan-JAS'!AU49:BB49)</f>
        <v>0</v>
      </c>
      <c r="N21" s="86">
        <f>SUM('Plan-JAS'!BC11:BI11)</f>
        <v>0</v>
      </c>
      <c r="O21" s="86">
        <f>SUM('Plan-JAS'!BC30:BI30)</f>
        <v>0</v>
      </c>
      <c r="P21" s="19">
        <f>SUM('Plan-JAS'!BC49:BI49)</f>
        <v>0</v>
      </c>
      <c r="Q21" s="120">
        <f>SUM('Plan-JAS'!BJ11:BP11)</f>
        <v>0</v>
      </c>
      <c r="R21" s="120">
        <f>SUM('Plan-JAS'!BJ30:BP30)</f>
        <v>0</v>
      </c>
      <c r="S21" s="58">
        <f>SUM('Plan-JAS'!BJ49:BP49)</f>
        <v>0</v>
      </c>
      <c r="T21" s="86">
        <f>SUM('Plan-JAS'!BQ11:BW11)</f>
        <v>0</v>
      </c>
      <c r="U21" s="86">
        <f>SUM('Plan-JAS'!BQ30:BW30)</f>
        <v>0</v>
      </c>
      <c r="V21" s="19">
        <f>SUM('Plan-JAS'!BQ49:BW49)</f>
        <v>0</v>
      </c>
      <c r="W21" s="86">
        <f>SUM('Plan-JAS'!BX11:CG11)</f>
        <v>0</v>
      </c>
      <c r="X21" s="86">
        <v>0</v>
      </c>
      <c r="Y21" s="19">
        <v>0</v>
      </c>
      <c r="Z21" s="86">
        <f>SUM('Plan-JAS'!CA11:CJ11)</f>
        <v>0</v>
      </c>
      <c r="AA21" s="86">
        <f>SUM('Plan-JAS'!CA30:CJ30)</f>
        <v>0</v>
      </c>
      <c r="AB21" s="19">
        <v>0</v>
      </c>
      <c r="AC21" s="86">
        <f>SUM('Plan-JAS'!CD11:CM11)</f>
        <v>0</v>
      </c>
      <c r="AD21" s="86">
        <f>SUM('Plan-JAS'!CD30:CM30)</f>
        <v>0</v>
      </c>
      <c r="AE21" s="19">
        <v>0</v>
      </c>
      <c r="AF21" s="86">
        <f>SUM('Plan-JAS'!CG11:CP11)</f>
        <v>0</v>
      </c>
      <c r="AG21" s="86">
        <f>SUM('Plan-JAS'!CG30:CP30)</f>
        <v>0</v>
      </c>
      <c r="AH21" s="19">
        <v>0</v>
      </c>
      <c r="AI21" s="86">
        <f>SUM('Plan-JAS'!CJ11:CS11)</f>
        <v>0</v>
      </c>
      <c r="AJ21" s="86">
        <f>SUM('Plan-JAS'!CJ30:CS30)</f>
        <v>0</v>
      </c>
      <c r="AK21" s="19">
        <v>0</v>
      </c>
      <c r="AL21" s="86">
        <f>SUM('Plan-JAS'!CM11:CV11)</f>
        <v>0</v>
      </c>
      <c r="AM21" s="86">
        <f>SUM('Plan-JAS'!CM30:CV30)</f>
        <v>0</v>
      </c>
      <c r="AN21" s="19">
        <v>0</v>
      </c>
      <c r="AO21" s="86">
        <f>SUM('Plan-OND'!BA40:BF40)</f>
        <v>0</v>
      </c>
      <c r="AP21" s="86">
        <f>SUM('Plan-OND'!BA60:BF60)</f>
        <v>0</v>
      </c>
      <c r="AQ21" s="19">
        <f>SUM('Plan-OND'!BA80:BF80)</f>
        <v>0</v>
      </c>
      <c r="AR21" s="86">
        <f>SUM('Plan-OND'!BG40:BM40)</f>
        <v>0</v>
      </c>
      <c r="AS21" s="86">
        <f>SUM('Plan-OND'!BH60:BM60)</f>
        <v>0</v>
      </c>
      <c r="AT21" s="19">
        <f>SUM('Plan-OND'!BH80:BM80)</f>
        <v>0</v>
      </c>
      <c r="AU21" s="86">
        <f>SUM('Plan-OND'!BO40:BT40)</f>
        <v>50</v>
      </c>
      <c r="AV21" s="86">
        <f>SUM('Plan-OND'!BK60:BP60)</f>
        <v>0</v>
      </c>
      <c r="AW21" s="19">
        <f>SUM('Plan-OND'!BO80:BT80)</f>
        <v>0</v>
      </c>
      <c r="AX21" s="86">
        <f>SUM('Plan-OND'!BV40:CA40)</f>
        <v>0</v>
      </c>
      <c r="AY21" s="86">
        <f>SUM('Plan-OND'!BV60:CA60)</f>
        <v>50</v>
      </c>
      <c r="AZ21" s="19">
        <f>SUM('Plan-OND'!BV80:CA80)</f>
        <v>0</v>
      </c>
      <c r="BA21" s="86">
        <f>SUM('Plan-OND'!CC40:CH40)</f>
        <v>0</v>
      </c>
      <c r="BB21" s="86">
        <f>SUM('Plan-OND'!CC60:CH60)</f>
        <v>50</v>
      </c>
      <c r="BC21" s="19">
        <f>SUM('Plan-OND'!CC80:CH80)</f>
        <v>0</v>
      </c>
      <c r="BD21" s="86">
        <f>SUM('Plan-OND'!CI40:CP40)</f>
        <v>0</v>
      </c>
      <c r="BE21" s="86">
        <f>SUM('Plan-OND'!CI60:CP60)</f>
        <v>0</v>
      </c>
      <c r="BF21" s="19">
        <f>SUM('Plan-OND'!CI80:CP80)</f>
        <v>50</v>
      </c>
      <c r="BG21" s="86">
        <f>SUM('Plan-OND'!CQ40:CS40)+SUM('Plan-JFM'!G44:H44)</f>
        <v>0</v>
      </c>
      <c r="BH21" s="86">
        <f>SUM('Plan-OND'!CQ60:CS60)</f>
        <v>0</v>
      </c>
      <c r="BI21" s="19">
        <f>SUM('Plan-OND'!CQ80:CS80)+SUM('Plan-JFM'!G88:H88)</f>
        <v>0</v>
      </c>
      <c r="BJ21" s="86">
        <f>SUM('Plan-JFM'!J44:O44)</f>
        <v>50</v>
      </c>
      <c r="BK21" s="86">
        <f>SUM('Plan-OND'!CT60:CV60)</f>
        <v>0</v>
      </c>
      <c r="BL21" s="19">
        <f>SUM('Plan-JFM'!J88:O88)</f>
        <v>30</v>
      </c>
      <c r="BM21" s="86">
        <f>SUM('Plan-JFM'!Q44:W44)</f>
        <v>0</v>
      </c>
      <c r="BN21" s="86">
        <f>SUM('Plan-OND'!CW60:CY60)</f>
        <v>0</v>
      </c>
      <c r="BO21" s="19">
        <f>SUM('Plan-JFM'!Q88:W88)</f>
        <v>6</v>
      </c>
      <c r="BP21" s="86">
        <f>SUM('Plan-JFM'!X44:AC44)</f>
        <v>0</v>
      </c>
      <c r="BQ21" s="86">
        <f>SUM('Plan-JFM'!X66:AC66)</f>
        <v>0</v>
      </c>
      <c r="BR21" s="19">
        <f>SUM('Plan-JFM'!Y88:AD88)</f>
        <v>0</v>
      </c>
    </row>
    <row r="22" spans="1:70">
      <c r="A22" s="24" t="s">
        <v>56</v>
      </c>
      <c r="B22" s="86"/>
      <c r="C22" s="87"/>
      <c r="D22" s="87"/>
      <c r="E22" s="86"/>
      <c r="F22" s="86"/>
      <c r="G22" s="86"/>
      <c r="H22" s="86"/>
      <c r="I22" s="86"/>
      <c r="J22" s="19"/>
      <c r="K22" s="86"/>
      <c r="L22" s="86"/>
      <c r="M22" s="19"/>
      <c r="N22" s="86"/>
      <c r="O22" s="86"/>
      <c r="P22" s="19"/>
      <c r="Q22" s="120"/>
      <c r="R22" s="120"/>
      <c r="S22" s="58"/>
      <c r="T22" s="86"/>
      <c r="U22" s="86"/>
      <c r="V22" s="19"/>
      <c r="W22" s="86"/>
      <c r="X22" s="86"/>
      <c r="Y22" s="19"/>
      <c r="Z22" s="86"/>
      <c r="AA22" s="86"/>
      <c r="AB22" s="19"/>
      <c r="AC22" s="86"/>
      <c r="AD22" s="86"/>
      <c r="AE22" s="19"/>
      <c r="AF22" s="86"/>
      <c r="AG22" s="86"/>
      <c r="AH22" s="19"/>
      <c r="AI22" s="86"/>
      <c r="AJ22" s="86"/>
      <c r="AK22" s="19"/>
      <c r="AL22" s="86"/>
      <c r="AM22" s="86"/>
      <c r="AN22" s="19"/>
      <c r="AO22" s="86"/>
      <c r="AP22" s="86"/>
      <c r="AQ22" s="19"/>
      <c r="AR22" s="86"/>
      <c r="AS22" s="86"/>
      <c r="AT22" s="19"/>
      <c r="AU22" s="86">
        <f>SUM('Plan-OND'!BO41:BT41)</f>
        <v>50</v>
      </c>
      <c r="AV22" s="86">
        <v>0</v>
      </c>
      <c r="AW22" s="19">
        <f>SUM('Plan-OND'!BO81:BT81)</f>
        <v>0</v>
      </c>
      <c r="AX22" s="86">
        <f>SUM('Plan-OND'!BV41:CA41)</f>
        <v>0</v>
      </c>
      <c r="AY22" s="86">
        <f>SUM('Plan-OND'!BV61:CA61)</f>
        <v>50</v>
      </c>
      <c r="AZ22" s="19">
        <f>SUM('Plan-OND'!BV81:CA81)</f>
        <v>0</v>
      </c>
      <c r="BA22" s="86">
        <f>SUM('Plan-OND'!CC41:CH41)</f>
        <v>0</v>
      </c>
      <c r="BB22" s="86">
        <f>SUM('Plan-OND'!CC61:CH61)</f>
        <v>50</v>
      </c>
      <c r="BC22" s="19">
        <f>SUM('Plan-OND'!CC81:CH81)</f>
        <v>0</v>
      </c>
      <c r="BD22" s="86">
        <f>SUM('Plan-OND'!CI41:CP41)</f>
        <v>0</v>
      </c>
      <c r="BE22" s="86">
        <f>SUM('Plan-OND'!CI61:CP61)</f>
        <v>0</v>
      </c>
      <c r="BF22" s="19">
        <f>SUM('Plan-OND'!CI81:CP81)</f>
        <v>50</v>
      </c>
      <c r="BG22" s="86">
        <f>SUM('Plan-OND'!CQ41:CS41)+SUM('Plan-JFM'!G45:H45)</f>
        <v>0</v>
      </c>
      <c r="BH22" s="86">
        <f>SUM('Plan-OND'!CQ61:CS61)</f>
        <v>0</v>
      </c>
      <c r="BI22" s="19">
        <f>SUM('Plan-OND'!CQ81:CS81)+SUM('Plan-JFM'!G89:H89)</f>
        <v>0</v>
      </c>
      <c r="BJ22" s="86">
        <f>SUM('Plan-JFM'!J45:O45)</f>
        <v>50</v>
      </c>
      <c r="BK22" s="86">
        <f>SUM('Plan-OND'!CT61:CV61)</f>
        <v>0</v>
      </c>
      <c r="BL22" s="19">
        <f>SUM('Plan-JFM'!J89:O89)</f>
        <v>30</v>
      </c>
      <c r="BM22" s="86">
        <f>SUM('Plan-JFM'!Q45:W45)</f>
        <v>0</v>
      </c>
      <c r="BN22" s="86">
        <f>SUM('Plan-OND'!CW61:CY61)</f>
        <v>0</v>
      </c>
      <c r="BO22" s="19">
        <f>SUM('Plan-JFM'!Q89:W89)</f>
        <v>10</v>
      </c>
      <c r="BP22" s="86">
        <f>SUM('Plan-JFM'!X45:AC45)</f>
        <v>0</v>
      </c>
      <c r="BQ22" s="86">
        <f>SUM('Plan-JFM'!X67:AC67)</f>
        <v>0</v>
      </c>
      <c r="BR22" s="19">
        <f>SUM('Plan-JFM'!Y89:AD89)</f>
        <v>0</v>
      </c>
    </row>
    <row r="23" spans="1:70">
      <c r="A23" s="19" t="s">
        <v>147</v>
      </c>
      <c r="B23" s="19">
        <f t="shared" ref="B23:V23" ca="1" si="0">SUM(B3:B33)</f>
        <v>2393</v>
      </c>
      <c r="C23" s="19">
        <f t="shared" ca="1" si="0"/>
        <v>2313</v>
      </c>
      <c r="D23" s="80">
        <f t="shared" ca="1" si="0"/>
        <v>741</v>
      </c>
      <c r="E23" s="19">
        <f t="shared" ca="1" si="0"/>
        <v>1160</v>
      </c>
      <c r="F23" s="19">
        <f t="shared" ca="1" si="0"/>
        <v>2434</v>
      </c>
      <c r="G23" s="19">
        <f t="shared" ca="1" si="0"/>
        <v>1094</v>
      </c>
      <c r="H23" s="19">
        <f t="shared" ca="1" si="0"/>
        <v>3580</v>
      </c>
      <c r="I23" s="19">
        <f t="shared" ca="1" si="0"/>
        <v>2316</v>
      </c>
      <c r="J23" s="19">
        <f t="shared" ca="1" si="0"/>
        <v>1333</v>
      </c>
      <c r="K23" s="19">
        <f t="shared" ca="1" si="0"/>
        <v>1670</v>
      </c>
      <c r="L23" s="19">
        <f t="shared" ca="1" si="0"/>
        <v>2247</v>
      </c>
      <c r="M23" s="19">
        <f t="shared" ca="1" si="0"/>
        <v>1759</v>
      </c>
      <c r="N23" s="19">
        <f t="shared" ca="1" si="0"/>
        <v>680</v>
      </c>
      <c r="O23" s="19">
        <f t="shared" ca="1" si="0"/>
        <v>2687</v>
      </c>
      <c r="P23" s="19">
        <f t="shared" ca="1" si="0"/>
        <v>1554</v>
      </c>
      <c r="Q23" s="58">
        <f t="shared" ca="1" si="0"/>
        <v>320</v>
      </c>
      <c r="R23" s="58">
        <f t="shared" ca="1" si="0"/>
        <v>1915</v>
      </c>
      <c r="S23" s="58">
        <f t="shared" ca="1" si="0"/>
        <v>1690</v>
      </c>
      <c r="T23" s="19">
        <f t="shared" ca="1" si="0"/>
        <v>0</v>
      </c>
      <c r="U23" s="19">
        <f t="shared" ca="1" si="0"/>
        <v>1302</v>
      </c>
      <c r="V23" s="19">
        <f t="shared" ca="1" si="0"/>
        <v>829</v>
      </c>
      <c r="W23" s="86">
        <f>SUM('Plan-JAS'!BX21:CG21)</f>
        <v>0</v>
      </c>
      <c r="X23" s="19">
        <f t="shared" ref="X23:AN23" ca="1" si="1">SUM(X3:X33)</f>
        <v>1595</v>
      </c>
      <c r="Y23" s="19">
        <f t="shared" ca="1" si="1"/>
        <v>856</v>
      </c>
      <c r="Z23" s="86">
        <f t="shared" ca="1" si="1"/>
        <v>400</v>
      </c>
      <c r="AA23" s="19">
        <f t="shared" ca="1" si="1"/>
        <v>0</v>
      </c>
      <c r="AB23" s="19">
        <f t="shared" ca="1" si="1"/>
        <v>447</v>
      </c>
      <c r="AC23" s="86">
        <f t="shared" ca="1" si="1"/>
        <v>1000</v>
      </c>
      <c r="AD23" s="19">
        <f t="shared" ca="1" si="1"/>
        <v>0</v>
      </c>
      <c r="AE23" s="19">
        <f t="shared" ca="1" si="1"/>
        <v>593</v>
      </c>
      <c r="AF23" s="86">
        <f t="shared" ca="1" si="1"/>
        <v>200</v>
      </c>
      <c r="AG23" s="19">
        <f t="shared" ca="1" si="1"/>
        <v>0</v>
      </c>
      <c r="AH23" s="19">
        <f t="shared" ca="1" si="1"/>
        <v>470</v>
      </c>
      <c r="AI23" s="86">
        <f t="shared" ca="1" si="1"/>
        <v>1600</v>
      </c>
      <c r="AJ23" s="19">
        <f t="shared" ca="1" si="1"/>
        <v>300</v>
      </c>
      <c r="AK23" s="19">
        <f t="shared" ca="1" si="1"/>
        <v>845</v>
      </c>
      <c r="AL23" s="86">
        <f t="shared" ca="1" si="1"/>
        <v>1344</v>
      </c>
      <c r="AM23" s="19">
        <f t="shared" ca="1" si="1"/>
        <v>0</v>
      </c>
      <c r="AN23" s="19">
        <f t="shared" ca="1" si="1"/>
        <v>235</v>
      </c>
      <c r="AO23" s="86">
        <f t="shared" ref="AO23:AT23" si="2">SUM(AO3:AO21)</f>
        <v>1880</v>
      </c>
      <c r="AP23" s="86">
        <f t="shared" si="2"/>
        <v>1282</v>
      </c>
      <c r="AQ23" s="86">
        <f t="shared" si="2"/>
        <v>631</v>
      </c>
      <c r="AR23" s="86">
        <f t="shared" si="2"/>
        <v>1531</v>
      </c>
      <c r="AS23" s="86">
        <f t="shared" si="2"/>
        <v>0</v>
      </c>
      <c r="AT23" s="86">
        <f t="shared" si="2"/>
        <v>852</v>
      </c>
      <c r="AU23" s="86">
        <f>SUM(AU3:AU21)</f>
        <v>1276</v>
      </c>
      <c r="AV23" s="86">
        <f t="shared" ref="AU23:AW23" si="3">SUM(AV3:AV21)</f>
        <v>0</v>
      </c>
      <c r="AW23" s="86">
        <f>SUM(AW3:AW21)</f>
        <v>789</v>
      </c>
      <c r="AX23" s="86">
        <f>SUM(AX3:AX21)</f>
        <v>1655</v>
      </c>
      <c r="AY23" s="86">
        <f t="shared" ref="AY23:AZ23" si="4">SUM(AY3:AY21)</f>
        <v>1400</v>
      </c>
      <c r="AZ23" s="86">
        <f>SUM(AZ3:AZ21)</f>
        <v>619</v>
      </c>
      <c r="BA23" s="86">
        <f>SUM(BA3:BA21)</f>
        <v>2083</v>
      </c>
      <c r="BB23" s="86">
        <f>SUM(BB3:BB22)</f>
        <v>1400</v>
      </c>
      <c r="BC23" s="86">
        <f>SUM(BC3:BC21)</f>
        <v>816</v>
      </c>
      <c r="BD23" s="86">
        <f>SUM(BD3:BD21)</f>
        <v>1930</v>
      </c>
      <c r="BE23" s="86">
        <f>SUM(BE3:BE22)</f>
        <v>2049</v>
      </c>
      <c r="BF23" s="86">
        <f>SUM(BF3:BF22)</f>
        <v>1075</v>
      </c>
      <c r="BG23" s="86">
        <f>SUM(BG3:BG21)</f>
        <v>1410</v>
      </c>
      <c r="BH23" s="86">
        <f>SUM(BH3:BH22)</f>
        <v>0</v>
      </c>
      <c r="BI23" s="86">
        <f>SUM(BI3:BI22)</f>
        <v>1131</v>
      </c>
      <c r="BJ23" s="86">
        <f>SUM(BJ3:BJ22)</f>
        <v>2121</v>
      </c>
      <c r="BK23" s="86">
        <f>SUM(BK3:BK22)</f>
        <v>0</v>
      </c>
      <c r="BL23" s="86">
        <f>SUM(BL3:BL22)</f>
        <v>638</v>
      </c>
      <c r="BM23" s="86">
        <f>SUM(BM3:BM22)</f>
        <v>2225</v>
      </c>
      <c r="BN23" s="86">
        <f>SUM(BN3:BN22)</f>
        <v>0</v>
      </c>
      <c r="BO23" s="86">
        <f>SUM(BO3:BO22)</f>
        <v>537</v>
      </c>
      <c r="BP23" s="86">
        <f>SUM(BP3:BP22)</f>
        <v>3349</v>
      </c>
      <c r="BQ23" s="86">
        <f>SUM(BQ3:BQ22)</f>
        <v>1338</v>
      </c>
      <c r="BR23" s="86">
        <f>SUM(BR3:BR22)</f>
        <v>1001</v>
      </c>
    </row>
    <row r="24" spans="1:70">
      <c r="A24" s="3"/>
      <c r="B24" s="3"/>
      <c r="C24" s="40"/>
      <c r="D24" s="40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</row>
    <row r="25" spans="1:70">
      <c r="A25" s="3" t="s">
        <v>403</v>
      </c>
      <c r="B25" s="84"/>
      <c r="C25" s="85"/>
      <c r="D25" s="85">
        <f ca="1">D23/C23%</f>
        <v>32.036316472114137</v>
      </c>
      <c r="E25" s="84"/>
      <c r="F25" s="84"/>
      <c r="G25" s="84">
        <f ca="1">G23/F23%</f>
        <v>44.94658997534922</v>
      </c>
      <c r="H25" s="3"/>
      <c r="I25" s="3"/>
      <c r="J25" s="84">
        <f ca="1">J23/I23%</f>
        <v>57.556131260794473</v>
      </c>
      <c r="K25" s="3"/>
      <c r="L25" s="3"/>
      <c r="M25" s="84">
        <f ca="1">M23/L23%</f>
        <v>78.282153983088563</v>
      </c>
      <c r="N25" s="3"/>
      <c r="O25" s="3"/>
      <c r="P25" s="84">
        <f ca="1">P23/O23%</f>
        <v>57.834015630815031</v>
      </c>
      <c r="Q25" s="3"/>
      <c r="R25" s="3"/>
      <c r="S25" s="84">
        <f ca="1">S23/R23%</f>
        <v>88.250652741514372</v>
      </c>
      <c r="T25" s="3"/>
      <c r="U25" s="3"/>
      <c r="V25" s="84">
        <f ca="1">V23/U23%</f>
        <v>63.671274961597547</v>
      </c>
      <c r="W25" s="3"/>
      <c r="X25" s="3"/>
      <c r="Y25" s="84">
        <f ca="1">Y23/X23%</f>
        <v>53.667711598746081</v>
      </c>
      <c r="Z25" s="3"/>
      <c r="AA25" s="3"/>
      <c r="AB25" s="84">
        <f ca="1">AB23/Z23%</f>
        <v>111.75</v>
      </c>
      <c r="AC25" s="3"/>
      <c r="AD25" s="3"/>
      <c r="AE25" s="84">
        <f ca="1">AE23/AC23%</f>
        <v>59.3</v>
      </c>
      <c r="AF25" s="3"/>
      <c r="AG25" s="3"/>
      <c r="AH25" s="84">
        <f ca="1">AH23/AF23%</f>
        <v>235</v>
      </c>
      <c r="AI25" s="3"/>
      <c r="AJ25" s="3"/>
      <c r="AK25" s="84">
        <f ca="1">AK23/AI23%</f>
        <v>52.8125</v>
      </c>
      <c r="AL25" s="3"/>
      <c r="AM25" s="3"/>
      <c r="AN25" s="84">
        <f ca="1">AN23/AL23%</f>
        <v>17.485119047619047</v>
      </c>
      <c r="AO25" s="3"/>
      <c r="AP25" s="3"/>
      <c r="AQ25" s="84">
        <f>AQ23/AP23%</f>
        <v>49.21996879875195</v>
      </c>
      <c r="AR25" s="3"/>
      <c r="AS25" s="3"/>
      <c r="AT25" s="84">
        <f>AT23/AR23%</f>
        <v>55.649902024820378</v>
      </c>
      <c r="AU25" s="3"/>
      <c r="AV25" s="3"/>
      <c r="AW25" s="84">
        <f>AW23/AU23%</f>
        <v>61.83385579937304</v>
      </c>
      <c r="AX25" s="3"/>
      <c r="AY25" s="3"/>
      <c r="AZ25" s="84">
        <f>AZ23/AY23%</f>
        <v>44.214285714285715</v>
      </c>
      <c r="BA25" s="3"/>
      <c r="BB25" s="3"/>
      <c r="BC25" s="84">
        <f>BC23/BB23%</f>
        <v>58.285714285714285</v>
      </c>
      <c r="BD25" s="3"/>
      <c r="BE25" s="3"/>
      <c r="BF25" s="84">
        <f>BF23/BE23%</f>
        <v>52.464616886285995</v>
      </c>
      <c r="BG25" s="3"/>
      <c r="BH25" s="3"/>
      <c r="BI25" s="84">
        <f>BI23/BG23%</f>
        <v>80.212765957446805</v>
      </c>
      <c r="BJ25" s="3"/>
      <c r="BK25" s="3"/>
      <c r="BL25" s="84">
        <f>BL23/BJ23%</f>
        <v>30.080150872230078</v>
      </c>
      <c r="BM25" s="3"/>
      <c r="BN25" s="3"/>
      <c r="BO25" s="84">
        <f>BO23/BM23%</f>
        <v>24.134831460674157</v>
      </c>
      <c r="BP25" s="3"/>
      <c r="BQ25" s="3"/>
      <c r="BR25" s="84">
        <f>BR23/BQ23%</f>
        <v>74.813153961136024</v>
      </c>
    </row>
  </sheetData>
  <mergeCells count="23">
    <mergeCell ref="N1:P1"/>
    <mergeCell ref="Q1:S1"/>
    <mergeCell ref="BD1:BF1"/>
    <mergeCell ref="BA1:BC1"/>
    <mergeCell ref="BJ1:BL1"/>
    <mergeCell ref="BG1:BI1"/>
    <mergeCell ref="AX1:AZ1"/>
    <mergeCell ref="BP1:BR1"/>
    <mergeCell ref="B1:D1"/>
    <mergeCell ref="E1:G1"/>
    <mergeCell ref="H1:J1"/>
    <mergeCell ref="K1:M1"/>
    <mergeCell ref="AU1:AW1"/>
    <mergeCell ref="AR1:AT1"/>
    <mergeCell ref="AO1:AQ1"/>
    <mergeCell ref="W1:Y1"/>
    <mergeCell ref="T1:V1"/>
    <mergeCell ref="AL1:AN1"/>
    <mergeCell ref="AI1:AK1"/>
    <mergeCell ref="Z1:AB1"/>
    <mergeCell ref="AC1:AE1"/>
    <mergeCell ref="BM1:BO1"/>
    <mergeCell ref="AF1:A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2E04-A055-4073-8E25-3D2CEC1643F6}">
  <dimension ref="A1:W27"/>
  <sheetViews>
    <sheetView zoomScale="150" workbookViewId="0">
      <selection activeCell="G14" sqref="G14"/>
    </sheetView>
  </sheetViews>
  <sheetFormatPr defaultColWidth="8.85546875" defaultRowHeight="15"/>
  <cols>
    <col min="1" max="1" width="7.140625" customWidth="1"/>
    <col min="2" max="2" width="10.42578125" customWidth="1"/>
    <col min="3" max="3" width="9.140625" customWidth="1"/>
    <col min="4" max="4" width="12.42578125" style="1" customWidth="1"/>
    <col min="5" max="5" width="14.5703125" style="1" customWidth="1"/>
    <col min="6" max="7" width="12.42578125" style="1" customWidth="1"/>
    <col min="8" max="8" width="16.7109375" style="1" customWidth="1"/>
    <col min="9" max="9" width="12.42578125" style="1" customWidth="1"/>
    <col min="10" max="10" width="12.5703125" customWidth="1"/>
    <col min="11" max="12" width="12.42578125" style="1" customWidth="1"/>
    <col min="13" max="13" width="14.7109375" style="133" customWidth="1"/>
    <col min="14" max="14" width="8.85546875" style="133" customWidth="1"/>
    <col min="15" max="15" width="11.28515625" style="1" bestFit="1" customWidth="1"/>
    <col min="16" max="16" width="12.42578125" style="1" customWidth="1"/>
    <col min="17" max="18" width="11" style="1" customWidth="1"/>
    <col min="19" max="19" width="17.85546875" customWidth="1"/>
    <col min="20" max="20" width="8.7109375" style="1" customWidth="1"/>
    <col min="21" max="21" width="10.85546875" style="1" customWidth="1"/>
    <col min="22" max="22" width="32.42578125" customWidth="1"/>
    <col min="23" max="23" width="31.5703125" customWidth="1"/>
  </cols>
  <sheetData>
    <row r="1" spans="1:23" s="156" customFormat="1" ht="30" customHeight="1">
      <c r="A1" s="271" t="s">
        <v>169</v>
      </c>
      <c r="B1" s="360" t="s">
        <v>404</v>
      </c>
      <c r="C1" s="360" t="s">
        <v>405</v>
      </c>
      <c r="D1" s="360" t="s">
        <v>406</v>
      </c>
      <c r="E1" s="361" t="s">
        <v>407</v>
      </c>
      <c r="F1" s="361" t="s">
        <v>408</v>
      </c>
      <c r="G1" s="361" t="s">
        <v>409</v>
      </c>
      <c r="H1" s="361" t="s">
        <v>410</v>
      </c>
      <c r="I1" s="361" t="s">
        <v>411</v>
      </c>
      <c r="J1" s="390" t="s">
        <v>412</v>
      </c>
      <c r="K1" s="361" t="s">
        <v>413</v>
      </c>
      <c r="L1" s="361" t="s">
        <v>414</v>
      </c>
      <c r="M1" s="334" t="s">
        <v>415</v>
      </c>
      <c r="N1" s="362" t="s">
        <v>416</v>
      </c>
      <c r="O1" s="360" t="s">
        <v>417</v>
      </c>
      <c r="P1" s="360" t="s">
        <v>418</v>
      </c>
      <c r="Q1" s="271" t="s">
        <v>419</v>
      </c>
      <c r="R1" s="271"/>
      <c r="S1" s="319" t="s">
        <v>420</v>
      </c>
      <c r="T1" s="360" t="s">
        <v>421</v>
      </c>
      <c r="U1" s="319" t="s">
        <v>422</v>
      </c>
      <c r="V1" s="319" t="s">
        <v>423</v>
      </c>
      <c r="W1" s="271" t="s">
        <v>424</v>
      </c>
    </row>
    <row r="2" spans="1:23" s="144" customFormat="1">
      <c r="A2" s="19">
        <v>8</v>
      </c>
      <c r="B2" s="320" t="s">
        <v>42</v>
      </c>
      <c r="C2" s="320" t="s">
        <v>425</v>
      </c>
      <c r="D2" s="320" t="s">
        <v>426</v>
      </c>
      <c r="E2" s="338">
        <f>(M2/1.18)/1.18</f>
        <v>11490.232691755244</v>
      </c>
      <c r="F2" s="338"/>
      <c r="G2" s="321">
        <f>(M2/1.133)/1.18</f>
        <v>11966.879590707138</v>
      </c>
      <c r="H2" s="338">
        <f>(M2/1.17)/1.18</f>
        <v>11588.439808778792</v>
      </c>
      <c r="I2" s="338"/>
      <c r="J2" s="338">
        <f>AVERAGE(E2:I2)</f>
        <v>11681.850697080392</v>
      </c>
      <c r="K2" s="330">
        <v>11174.576271186441</v>
      </c>
      <c r="L2" s="338">
        <f>AVERAGE(E2:K2)</f>
        <v>11580.395811901602</v>
      </c>
      <c r="M2" s="321">
        <v>15999</v>
      </c>
      <c r="N2" s="322">
        <v>0.6</v>
      </c>
      <c r="O2" s="321">
        <v>6400</v>
      </c>
      <c r="P2" s="323">
        <v>8815</v>
      </c>
      <c r="Q2" s="170">
        <f>(L2-P2)/L2</f>
        <v>0.23879976615820872</v>
      </c>
      <c r="R2" s="170">
        <f>100%-Q2</f>
        <v>0.76120023384179125</v>
      </c>
      <c r="S2" s="324">
        <f>Q2-N2</f>
        <v>-0.36120023384179123</v>
      </c>
      <c r="T2" s="321">
        <f>O2-P2</f>
        <v>-2415</v>
      </c>
      <c r="U2" s="277" t="str">
        <f>IF(Q2&gt;=50%,"GO","NO GO")</f>
        <v>NO GO</v>
      </c>
      <c r="V2" s="325" t="s">
        <v>427</v>
      </c>
      <c r="W2" s="3" t="s">
        <v>428</v>
      </c>
    </row>
    <row r="3" spans="1:23">
      <c r="A3" s="370">
        <v>2</v>
      </c>
      <c r="B3" s="371" t="s">
        <v>61</v>
      </c>
      <c r="C3" s="371" t="s">
        <v>429</v>
      </c>
      <c r="D3" s="371" t="s">
        <v>429</v>
      </c>
      <c r="E3" s="351"/>
      <c r="F3" s="351">
        <f>(M3/1.13)/1.18</f>
        <v>7499.6250187490632</v>
      </c>
      <c r="G3" s="351">
        <f>(M3/1.138)/1.18</f>
        <v>7446.9035774924787</v>
      </c>
      <c r="H3" s="372"/>
      <c r="I3" s="372">
        <f>(M3/1.123)/1.18</f>
        <v>7546.3724587590759</v>
      </c>
      <c r="J3" s="338">
        <f>AVERAGE(E3:I3)</f>
        <v>7497.6336850002053</v>
      </c>
      <c r="K3" s="373">
        <v>6778.8135593220341</v>
      </c>
      <c r="L3" s="351">
        <f>AVERAGE(E3:K3)</f>
        <v>7353.8696598645711</v>
      </c>
      <c r="M3" s="353">
        <v>10000</v>
      </c>
      <c r="N3" s="352">
        <v>0.6</v>
      </c>
      <c r="O3" s="353">
        <v>4000</v>
      </c>
      <c r="P3" s="356">
        <v>5472</v>
      </c>
      <c r="Q3" s="374">
        <f>(L3-P3)/L3</f>
        <v>0.25590196004360888</v>
      </c>
      <c r="R3" s="170">
        <f>100%-Q3</f>
        <v>0.74409803995639112</v>
      </c>
      <c r="S3" s="375">
        <f>Q3-N3</f>
        <v>-0.3440980399563911</v>
      </c>
      <c r="T3" s="353">
        <f>O3-P3</f>
        <v>-1472</v>
      </c>
      <c r="U3" s="376" t="str">
        <f>IF(Q3&gt;=50%,"GO","NO GO")</f>
        <v>NO GO</v>
      </c>
      <c r="V3" s="377" t="s">
        <v>427</v>
      </c>
      <c r="W3" s="276"/>
    </row>
    <row r="4" spans="1:23" ht="14.25" customHeight="1">
      <c r="A4" s="19">
        <v>15</v>
      </c>
      <c r="B4" s="320" t="s">
        <v>47</v>
      </c>
      <c r="C4" s="320" t="s">
        <v>425</v>
      </c>
      <c r="D4" s="320" t="s">
        <v>430</v>
      </c>
      <c r="E4" s="338">
        <f>(M4/1.18)/1.18</f>
        <v>20468.256248204543</v>
      </c>
      <c r="F4" s="338"/>
      <c r="G4" s="321">
        <f>(M4/1.133)/1.18</f>
        <v>21317.33660448487</v>
      </c>
      <c r="H4" s="338">
        <f>(M4/1.17)/1.18</f>
        <v>20643.198609300307</v>
      </c>
      <c r="I4" s="338"/>
      <c r="J4" s="338">
        <f>AVERAGE(E4:I4)</f>
        <v>20809.597153996572</v>
      </c>
      <c r="K4" s="330">
        <v>19825.423728813559</v>
      </c>
      <c r="L4" s="338">
        <f>AVERAGE(E4:K4)</f>
        <v>20612.762468959969</v>
      </c>
      <c r="M4" s="321">
        <v>28500</v>
      </c>
      <c r="N4" s="322">
        <v>0.6</v>
      </c>
      <c r="O4" s="321">
        <v>12000</v>
      </c>
      <c r="P4" s="323">
        <v>15333</v>
      </c>
      <c r="Q4" s="170">
        <f>(L4-P4)/L4</f>
        <v>0.25614046040216959</v>
      </c>
      <c r="R4" s="170">
        <f>100%-Q4</f>
        <v>0.74385953959783047</v>
      </c>
      <c r="S4" s="324">
        <f>Q4-N4</f>
        <v>-0.34385953959783039</v>
      </c>
      <c r="T4" s="321">
        <f>O4-P4</f>
        <v>-3333</v>
      </c>
      <c r="U4" s="277" t="str">
        <f>IF(Q4&gt;=50%,"GO","NO GO")</f>
        <v>NO GO</v>
      </c>
      <c r="V4" s="325" t="s">
        <v>427</v>
      </c>
      <c r="W4" s="3"/>
    </row>
    <row r="5" spans="1:23">
      <c r="A5" s="19">
        <v>5</v>
      </c>
      <c r="B5" s="320" t="s">
        <v>41</v>
      </c>
      <c r="C5" s="320" t="s">
        <v>425</v>
      </c>
      <c r="D5" s="320" t="s">
        <v>426</v>
      </c>
      <c r="E5" s="338">
        <f>(M5/1.18)/1.18</f>
        <v>10772.048261993681</v>
      </c>
      <c r="F5" s="338"/>
      <c r="G5" s="321">
        <f>(M5/1.133)/1.18</f>
        <v>11218.902867742756</v>
      </c>
      <c r="H5" s="338">
        <f>(M5/1.17)/1.18</f>
        <v>10864.11705055773</v>
      </c>
      <c r="I5" s="338"/>
      <c r="J5" s="338">
        <f>AVERAGE(E5:I5)</f>
        <v>10951.68939343139</v>
      </c>
      <c r="K5" s="336">
        <v>10453.389830508475</v>
      </c>
      <c r="L5" s="338">
        <f>AVERAGE(E5:K5)</f>
        <v>10852.029480846806</v>
      </c>
      <c r="M5" s="321">
        <v>14999</v>
      </c>
      <c r="N5" s="322">
        <v>0.6</v>
      </c>
      <c r="O5" s="321">
        <v>6000</v>
      </c>
      <c r="P5" s="323">
        <v>7827</v>
      </c>
      <c r="Q5" s="170">
        <f>(L5-P5)/L5</f>
        <v>0.27875242010591705</v>
      </c>
      <c r="R5" s="170">
        <f>100%-Q5</f>
        <v>0.72124757989408295</v>
      </c>
      <c r="S5" s="324">
        <f>Q5-N5</f>
        <v>-0.32124757989408292</v>
      </c>
      <c r="T5" s="321">
        <f>O5-P5</f>
        <v>-1827</v>
      </c>
      <c r="U5" s="277" t="str">
        <f>IF(Q5&gt;=50%,"GO","NO GO")</f>
        <v>NO GO</v>
      </c>
      <c r="V5" s="325" t="s">
        <v>427</v>
      </c>
      <c r="W5" s="3" t="s">
        <v>428</v>
      </c>
    </row>
    <row r="6" spans="1:23">
      <c r="A6" s="270">
        <v>18</v>
      </c>
      <c r="B6" s="387" t="s">
        <v>431</v>
      </c>
      <c r="C6" s="383" t="s">
        <v>429</v>
      </c>
      <c r="D6" s="383" t="s">
        <v>432</v>
      </c>
      <c r="E6" s="384"/>
      <c r="F6" s="354">
        <f>(M6/1.13)/1.18</f>
        <v>10874.456277186142</v>
      </c>
      <c r="G6" s="354">
        <f>(M6/1.138)/1.18</f>
        <v>10798.010187364096</v>
      </c>
      <c r="H6" s="385"/>
      <c r="I6" s="378">
        <f>(M6/1.123)/1.18</f>
        <v>10942.24006520066</v>
      </c>
      <c r="J6" s="338">
        <f>AVERAGE(E6:I6)</f>
        <v>10871.568843250299</v>
      </c>
      <c r="K6" s="379">
        <v>9132</v>
      </c>
      <c r="L6" s="354">
        <f>AVERAGE(E6:K6)</f>
        <v>10523.655074600239</v>
      </c>
      <c r="M6" s="355">
        <v>14500</v>
      </c>
      <c r="N6" s="358">
        <v>0.6</v>
      </c>
      <c r="O6" s="359">
        <v>5800</v>
      </c>
      <c r="P6" s="357">
        <v>7487</v>
      </c>
      <c r="Q6" s="380">
        <f>(L6-P6)/L6</f>
        <v>0.28855516957501504</v>
      </c>
      <c r="R6" s="170">
        <f>100%-Q6</f>
        <v>0.71144483042498496</v>
      </c>
      <c r="S6" s="386">
        <f>Q6-N6</f>
        <v>-0.31144483042498494</v>
      </c>
      <c r="T6" s="355">
        <f>O6-P6</f>
        <v>-1687</v>
      </c>
      <c r="U6" s="381" t="str">
        <f>IF(Q6&gt;=50%,"GO","NO GO")</f>
        <v>NO GO</v>
      </c>
      <c r="V6" s="387" t="s">
        <v>427</v>
      </c>
      <c r="W6" s="174" t="s">
        <v>433</v>
      </c>
    </row>
    <row r="7" spans="1:23">
      <c r="A7" s="72">
        <v>1</v>
      </c>
      <c r="B7" s="363" t="s">
        <v>72</v>
      </c>
      <c r="C7" s="363" t="s">
        <v>429</v>
      </c>
      <c r="D7" s="363" t="s">
        <v>429</v>
      </c>
      <c r="E7" s="348"/>
      <c r="F7" s="348">
        <f>(M7/1.13)/1.18</f>
        <v>6749.6625168741575</v>
      </c>
      <c r="G7" s="348">
        <f>(M7/1.138)/1.18</f>
        <v>6702.2132197432311</v>
      </c>
      <c r="H7" s="364"/>
      <c r="I7" s="364">
        <f>(M7/1.123)/1.18</f>
        <v>6791.7352128831681</v>
      </c>
      <c r="J7" s="338">
        <f>AVERAGE(E7:I7)</f>
        <v>6747.8703165001862</v>
      </c>
      <c r="K7" s="369">
        <v>6065.2542372881362</v>
      </c>
      <c r="L7" s="348">
        <f>AVERAGE(E7:K7)</f>
        <v>6611.3471006577765</v>
      </c>
      <c r="M7" s="350">
        <v>9000</v>
      </c>
      <c r="N7" s="349">
        <v>0.6</v>
      </c>
      <c r="O7" s="350">
        <v>3600</v>
      </c>
      <c r="P7" s="394">
        <v>4692</v>
      </c>
      <c r="Q7" s="365">
        <f>(L7-P7)/L7</f>
        <v>0.2903110472700513</v>
      </c>
      <c r="R7" s="170">
        <f>100%-Q7</f>
        <v>0.7096889527299487</v>
      </c>
      <c r="S7" s="366">
        <f>Q7-N7</f>
        <v>-0.30968895272994867</v>
      </c>
      <c r="T7" s="350">
        <f>O7-P7</f>
        <v>-1092</v>
      </c>
      <c r="U7" s="367" t="str">
        <f>IF(Q7&gt;=50%,"GO","NO GO")</f>
        <v>NO GO</v>
      </c>
      <c r="V7" s="368" t="s">
        <v>427</v>
      </c>
      <c r="W7" s="69"/>
    </row>
    <row r="8" spans="1:23">
      <c r="A8" s="19">
        <v>19</v>
      </c>
      <c r="B8" s="320" t="s">
        <v>36</v>
      </c>
      <c r="C8" s="320" t="s">
        <v>425</v>
      </c>
      <c r="D8" s="320" t="s">
        <v>434</v>
      </c>
      <c r="E8" s="338">
        <f>(M8/1.18)/1.18</f>
        <v>14004.596380350475</v>
      </c>
      <c r="F8" s="338"/>
      <c r="G8" s="321">
        <f>(M8/1.133)/1.18</f>
        <v>14585.546097805436</v>
      </c>
      <c r="H8" s="338">
        <f>(M8/1.17)/1.18</f>
        <v>14124.293785310736</v>
      </c>
      <c r="I8" s="338"/>
      <c r="J8" s="338">
        <f>AVERAGE(E8:I8)</f>
        <v>14238.145421155548</v>
      </c>
      <c r="K8" s="336"/>
      <c r="L8" s="338">
        <f>AVERAGE(E8:K8)</f>
        <v>14238.145421155548</v>
      </c>
      <c r="M8" s="321">
        <v>19500</v>
      </c>
      <c r="N8" s="326">
        <v>0.6</v>
      </c>
      <c r="O8" s="323">
        <f>M8*(100%-N8)</f>
        <v>7800</v>
      </c>
      <c r="P8" s="329">
        <f>9964-35</f>
        <v>9929</v>
      </c>
      <c r="Q8" s="170">
        <f>(L8-P8)/L8</f>
        <v>0.30264794281092711</v>
      </c>
      <c r="R8" s="170">
        <f>100%-Q8</f>
        <v>0.69735205718907289</v>
      </c>
      <c r="S8" s="327">
        <f>Q8-N8</f>
        <v>-0.29735205718907287</v>
      </c>
      <c r="T8" s="321">
        <f>O8-P8</f>
        <v>-2129</v>
      </c>
      <c r="U8" s="277" t="str">
        <f>IF(Q8&gt;=50%,"GO","NO GO")</f>
        <v>NO GO</v>
      </c>
      <c r="V8" s="325" t="s">
        <v>427</v>
      </c>
      <c r="W8" s="3" t="s">
        <v>435</v>
      </c>
    </row>
    <row r="9" spans="1:23">
      <c r="A9" s="370">
        <v>9</v>
      </c>
      <c r="B9" s="371" t="s">
        <v>51</v>
      </c>
      <c r="C9" s="371" t="s">
        <v>429</v>
      </c>
      <c r="D9" s="371" t="s">
        <v>432</v>
      </c>
      <c r="E9" s="351"/>
      <c r="F9" s="351">
        <f>(M9/1.13)/1.18</f>
        <v>13124.343782810862</v>
      </c>
      <c r="G9" s="351">
        <f>(M9/1.138)/1.18</f>
        <v>13032.08126061184</v>
      </c>
      <c r="H9" s="372"/>
      <c r="I9" s="372">
        <f>(M9/1.123)/1.18</f>
        <v>13206.151802828381</v>
      </c>
      <c r="J9" s="338">
        <f>AVERAGE(E9:I9)</f>
        <v>13120.858948750361</v>
      </c>
      <c r="K9" s="382">
        <v>12255.932203389832</v>
      </c>
      <c r="L9" s="351">
        <f>AVERAGE(E9:K9)</f>
        <v>12947.873599678254</v>
      </c>
      <c r="M9" s="353">
        <v>17500</v>
      </c>
      <c r="N9" s="352">
        <v>0.6</v>
      </c>
      <c r="O9" s="353">
        <v>7000</v>
      </c>
      <c r="P9" s="337">
        <v>8936</v>
      </c>
      <c r="Q9" s="374">
        <f>(L9-P9)/L9</f>
        <v>0.30984806646382046</v>
      </c>
      <c r="R9" s="170">
        <f>100%-Q9</f>
        <v>0.69015193353617954</v>
      </c>
      <c r="S9" s="375">
        <f>Q9-N9</f>
        <v>-0.29015193353617952</v>
      </c>
      <c r="T9" s="353">
        <f>O9-P9</f>
        <v>-1936</v>
      </c>
      <c r="U9" s="376" t="str">
        <f>IF(Q9&gt;=50%,"GO","NO GO")</f>
        <v>NO GO</v>
      </c>
      <c r="V9" s="377" t="s">
        <v>436</v>
      </c>
      <c r="W9" s="276" t="s">
        <v>428</v>
      </c>
    </row>
    <row r="10" spans="1:23">
      <c r="A10" s="19">
        <v>4</v>
      </c>
      <c r="B10" s="320" t="s">
        <v>84</v>
      </c>
      <c r="C10" s="320" t="s">
        <v>425</v>
      </c>
      <c r="D10" s="320" t="s">
        <v>426</v>
      </c>
      <c r="E10" s="338">
        <f>(M10/1.18)/1.18</f>
        <v>10413.674231542662</v>
      </c>
      <c r="F10" s="338"/>
      <c r="G10" s="321">
        <f>(M10/1.133)/1.18</f>
        <v>10845.662482983529</v>
      </c>
      <c r="H10" s="338">
        <f>(M10/1.17)/1.18</f>
        <v>10502.67999420542</v>
      </c>
      <c r="I10" s="338"/>
      <c r="J10" s="338">
        <f>AVERAGE(E10:I10)</f>
        <v>10587.338902910536</v>
      </c>
      <c r="K10" s="336">
        <v>9948.3050847457635</v>
      </c>
      <c r="L10" s="338">
        <f>AVERAGE(E10:K10)</f>
        <v>10459.532139277582</v>
      </c>
      <c r="M10" s="321">
        <v>14500</v>
      </c>
      <c r="N10" s="322">
        <v>0.6</v>
      </c>
      <c r="O10" s="321">
        <v>5800</v>
      </c>
      <c r="P10" s="323">
        <v>7197</v>
      </c>
      <c r="Q10" s="170">
        <f>(L10-P10)/L10</f>
        <v>0.31191950995839846</v>
      </c>
      <c r="R10" s="170">
        <f>100%-Q10</f>
        <v>0.68808049004160154</v>
      </c>
      <c r="S10" s="324">
        <f>Q10-N10</f>
        <v>-0.28808049004160152</v>
      </c>
      <c r="T10" s="321">
        <f>O10-P10</f>
        <v>-1397</v>
      </c>
      <c r="U10" s="277" t="str">
        <f>IF(Q10&gt;=50%,"GO","NO GO")</f>
        <v>NO GO</v>
      </c>
      <c r="V10" s="325" t="s">
        <v>427</v>
      </c>
      <c r="W10" s="3" t="s">
        <v>437</v>
      </c>
    </row>
    <row r="11" spans="1:23">
      <c r="A11" s="19">
        <v>20</v>
      </c>
      <c r="B11" s="320" t="s">
        <v>37</v>
      </c>
      <c r="C11" s="320" t="s">
        <v>425</v>
      </c>
      <c r="D11" s="320" t="s">
        <v>434</v>
      </c>
      <c r="E11" s="338">
        <f>(M11/1.18)/1.18</f>
        <v>14722.062625682278</v>
      </c>
      <c r="F11" s="338"/>
      <c r="G11" s="321">
        <f>(M11/1.133)/1.18</f>
        <v>15332.774844046855</v>
      </c>
      <c r="H11" s="338">
        <f>(M11/1.17)/1.18</f>
        <v>14847.892220773578</v>
      </c>
      <c r="I11" s="338"/>
      <c r="J11" s="338">
        <f>AVERAGE(E11:I11)</f>
        <v>14967.576563500903</v>
      </c>
      <c r="K11" s="336"/>
      <c r="L11" s="338">
        <f>AVERAGE(E11:K11)</f>
        <v>14967.576563500903</v>
      </c>
      <c r="M11" s="321">
        <v>20499</v>
      </c>
      <c r="N11" s="326">
        <v>0.6</v>
      </c>
      <c r="O11" s="323">
        <f>M11*(100%-N11)</f>
        <v>8199.6</v>
      </c>
      <c r="P11" s="330">
        <f>10239-35</f>
        <v>10204</v>
      </c>
      <c r="Q11" s="170">
        <f>(L11-P11)/L11</f>
        <v>0.31825970913134294</v>
      </c>
      <c r="R11" s="170">
        <f>100%-Q11</f>
        <v>0.68174029086865706</v>
      </c>
      <c r="S11" s="327">
        <f>Q11-N11</f>
        <v>-0.28174029086865704</v>
      </c>
      <c r="T11" s="321">
        <f>O11-P11</f>
        <v>-2004.3999999999996</v>
      </c>
      <c r="U11" s="277" t="str">
        <f>IF(Q11&gt;=50%,"GO","NO GO")</f>
        <v>NO GO</v>
      </c>
      <c r="V11" s="325" t="s">
        <v>427</v>
      </c>
      <c r="W11" s="3" t="s">
        <v>435</v>
      </c>
    </row>
    <row r="12" spans="1:23">
      <c r="A12" s="19">
        <v>6</v>
      </c>
      <c r="B12" s="320" t="s">
        <v>34</v>
      </c>
      <c r="C12" s="320" t="s">
        <v>425</v>
      </c>
      <c r="D12" s="320" t="s">
        <v>426</v>
      </c>
      <c r="E12" s="338">
        <f>(M12/1.18)/1.18</f>
        <v>11131.858661304224</v>
      </c>
      <c r="F12" s="338"/>
      <c r="G12" s="321">
        <f>(M12/1.133)/1.18</f>
        <v>11593.639205947911</v>
      </c>
      <c r="H12" s="338">
        <f>(M12/1.17)/1.18</f>
        <v>11227.002752426482</v>
      </c>
      <c r="I12" s="338"/>
      <c r="J12" s="338">
        <f>AVERAGE(E12:I12)</f>
        <v>11317.50020655954</v>
      </c>
      <c r="K12" s="336">
        <v>10806.77966101695</v>
      </c>
      <c r="L12" s="338">
        <f>AVERAGE(E12:K12)</f>
        <v>11215.356097451022</v>
      </c>
      <c r="M12" s="321">
        <v>15500</v>
      </c>
      <c r="N12" s="322">
        <v>0.6</v>
      </c>
      <c r="O12" s="321">
        <v>6200</v>
      </c>
      <c r="P12" s="323">
        <v>7471</v>
      </c>
      <c r="Q12" s="170">
        <f>(L12-P12)/L12</f>
        <v>0.33385976021769143</v>
      </c>
      <c r="R12" s="170">
        <f>100%-Q12</f>
        <v>0.66614023978230863</v>
      </c>
      <c r="S12" s="324">
        <f>Q12-N12</f>
        <v>-0.26614023978230855</v>
      </c>
      <c r="T12" s="321">
        <f>O12-P12</f>
        <v>-1271</v>
      </c>
      <c r="U12" s="277" t="str">
        <f>IF(Q12&gt;=50%,"GO","NO GO")</f>
        <v>NO GO</v>
      </c>
      <c r="V12" s="325" t="s">
        <v>427</v>
      </c>
      <c r="W12" s="3" t="s">
        <v>437</v>
      </c>
    </row>
    <row r="13" spans="1:23">
      <c r="A13" s="370">
        <v>13</v>
      </c>
      <c r="B13" s="371" t="s">
        <v>45</v>
      </c>
      <c r="C13" s="371" t="s">
        <v>425</v>
      </c>
      <c r="D13" s="371" t="s">
        <v>430</v>
      </c>
      <c r="E13" s="351">
        <f>(M13/1.18)/1.18</f>
        <v>14363.688595231257</v>
      </c>
      <c r="F13" s="351"/>
      <c r="G13" s="353">
        <f>(M13/1.133)/1.18</f>
        <v>14959.534459287626</v>
      </c>
      <c r="H13" s="372">
        <f>(M13/1.17)/1.18</f>
        <v>14486.455164421266</v>
      </c>
      <c r="I13" s="372"/>
      <c r="J13" s="338">
        <f>AVERAGE(E13:I13)</f>
        <v>14603.226072980049</v>
      </c>
      <c r="K13" s="382">
        <v>14057.627118644068</v>
      </c>
      <c r="L13" s="351">
        <f>AVERAGE(E13:K13)</f>
        <v>14494.106282112853</v>
      </c>
      <c r="M13" s="353">
        <v>20000</v>
      </c>
      <c r="N13" s="352">
        <v>0.6</v>
      </c>
      <c r="O13" s="353">
        <v>8000</v>
      </c>
      <c r="P13" s="396">
        <v>9575</v>
      </c>
      <c r="Q13" s="374">
        <f>(L13-P13)/L13</f>
        <v>0.33938665733281614</v>
      </c>
      <c r="R13" s="170">
        <f>100%-Q13</f>
        <v>0.66061334266718386</v>
      </c>
      <c r="S13" s="375">
        <f>Q13-N13</f>
        <v>-0.26061334266718383</v>
      </c>
      <c r="T13" s="353">
        <f>O13-P13</f>
        <v>-1575</v>
      </c>
      <c r="U13" s="376" t="str">
        <f>IF(Q13&gt;=50%,"GO","NO GO")</f>
        <v>NO GO</v>
      </c>
      <c r="V13" s="377" t="s">
        <v>427</v>
      </c>
      <c r="W13" s="276" t="s">
        <v>428</v>
      </c>
    </row>
    <row r="14" spans="1:23">
      <c r="A14" s="19">
        <v>10</v>
      </c>
      <c r="B14" s="320" t="s">
        <v>36</v>
      </c>
      <c r="C14" s="320" t="s">
        <v>425</v>
      </c>
      <c r="D14" s="320" t="s">
        <v>430</v>
      </c>
      <c r="E14" s="338">
        <f>(M14/1.18)/1.18</f>
        <v>12927.31973570813</v>
      </c>
      <c r="F14" s="338"/>
      <c r="G14" s="321">
        <f>(M14/1.133)/1.18</f>
        <v>13463.581013358866</v>
      </c>
      <c r="H14" s="338">
        <f>(M14/1.17)/1.18</f>
        <v>13037.80964797914</v>
      </c>
      <c r="I14" s="338"/>
      <c r="J14" s="338">
        <f>AVERAGE(E14:I14)</f>
        <v>13142.903465682046</v>
      </c>
      <c r="K14" s="336">
        <v>12435.593220338984</v>
      </c>
      <c r="L14" s="338">
        <f>AVERAGE(E14:K14)</f>
        <v>13001.441416613434</v>
      </c>
      <c r="M14" s="321">
        <v>18000</v>
      </c>
      <c r="N14" s="322">
        <v>0.6</v>
      </c>
      <c r="O14" s="321">
        <v>7000</v>
      </c>
      <c r="P14" s="321">
        <f>8518-35</f>
        <v>8483</v>
      </c>
      <c r="Q14" s="170">
        <f>(L14-P14)/L14</f>
        <v>0.3475338827308565</v>
      </c>
      <c r="R14" s="170">
        <f>100%-Q14</f>
        <v>0.6524661172691435</v>
      </c>
      <c r="S14" s="324">
        <f>Q14-N14</f>
        <v>-0.25246611726914348</v>
      </c>
      <c r="T14" s="321">
        <f>O14-P14</f>
        <v>-1483</v>
      </c>
      <c r="U14" s="277" t="str">
        <f>IF(Q14&gt;=50%,"GO","NO GO")</f>
        <v>NO GO</v>
      </c>
      <c r="V14" s="325" t="s">
        <v>427</v>
      </c>
      <c r="W14" s="3" t="s">
        <v>428</v>
      </c>
    </row>
    <row r="15" spans="1:23">
      <c r="A15" s="370">
        <v>7</v>
      </c>
      <c r="B15" s="371" t="s">
        <v>49</v>
      </c>
      <c r="C15" s="371" t="s">
        <v>429</v>
      </c>
      <c r="D15" s="371" t="s">
        <v>432</v>
      </c>
      <c r="E15" s="351"/>
      <c r="F15" s="351">
        <f>(M15/1.13)/1.18</f>
        <v>11624.418779061049</v>
      </c>
      <c r="G15" s="351">
        <f>(M15/1.138)/1.18</f>
        <v>11542.700545113345</v>
      </c>
      <c r="H15" s="372"/>
      <c r="I15" s="372">
        <f>(M15/1.123)/1.18</f>
        <v>11696.877311076565</v>
      </c>
      <c r="J15" s="338">
        <f>AVERAGE(E15:I15)</f>
        <v>11621.332211750319</v>
      </c>
      <c r="K15" s="382">
        <v>11066.101694915254</v>
      </c>
      <c r="L15" s="351">
        <f>AVERAGE(E15:K15)</f>
        <v>11510.286108383307</v>
      </c>
      <c r="M15" s="353">
        <v>15500</v>
      </c>
      <c r="N15" s="352">
        <v>0.6</v>
      </c>
      <c r="O15" s="353">
        <v>6200</v>
      </c>
      <c r="P15" s="395">
        <v>7509</v>
      </c>
      <c r="Q15" s="374">
        <f>(L15-P15)/L15</f>
        <v>0.34762698952105481</v>
      </c>
      <c r="R15" s="170">
        <f>100%-Q15</f>
        <v>0.65237301047894514</v>
      </c>
      <c r="S15" s="375">
        <f>Q15-N15</f>
        <v>-0.25237301047894517</v>
      </c>
      <c r="T15" s="353">
        <f>O15-P15</f>
        <v>-1309</v>
      </c>
      <c r="U15" s="376" t="str">
        <f>IF(Q15&gt;=50%,"GO","NO GO")</f>
        <v>NO GO</v>
      </c>
      <c r="V15" s="377" t="s">
        <v>436</v>
      </c>
      <c r="W15" s="276" t="s">
        <v>428</v>
      </c>
    </row>
    <row r="16" spans="1:23">
      <c r="A16" s="58">
        <v>17</v>
      </c>
      <c r="B16" s="392" t="s">
        <v>438</v>
      </c>
      <c r="C16" s="391" t="s">
        <v>429</v>
      </c>
      <c r="D16" s="391" t="s">
        <v>432</v>
      </c>
      <c r="E16" s="393"/>
      <c r="F16" s="338">
        <f>(M16/1.13)/1.18</f>
        <v>10124.493775311235</v>
      </c>
      <c r="G16" s="338">
        <f>(M16/1.138)/1.18</f>
        <v>10053.319829614848</v>
      </c>
      <c r="H16" s="393"/>
      <c r="I16" s="338">
        <f>(M16/1.123)/1.18</f>
        <v>10187.602819324751</v>
      </c>
      <c r="J16" s="338">
        <f>AVERAGE(E16:I16)</f>
        <v>10121.805474750277</v>
      </c>
      <c r="K16" s="336">
        <v>9133.0508474576309</v>
      </c>
      <c r="L16" s="338">
        <f>AVERAGE(E16:K16)</f>
        <v>9924.0545492917481</v>
      </c>
      <c r="M16" s="323">
        <v>13500</v>
      </c>
      <c r="N16" s="326">
        <v>0.6</v>
      </c>
      <c r="O16" s="323">
        <v>5400</v>
      </c>
      <c r="P16" s="323">
        <v>6402</v>
      </c>
      <c r="Q16" s="170">
        <f>(L16-P16)/L16</f>
        <v>0.35490076478298954</v>
      </c>
      <c r="R16" s="170">
        <f>100%-Q16</f>
        <v>0.6450992352170104</v>
      </c>
      <c r="S16" s="327">
        <f>Q16-N16</f>
        <v>-0.24509923521701044</v>
      </c>
      <c r="T16" s="321">
        <f>O16-P16</f>
        <v>-1002</v>
      </c>
      <c r="U16" s="277" t="str">
        <f>IF(Q16&gt;=50%,"GO","NO GO")</f>
        <v>NO GO</v>
      </c>
      <c r="V16" s="392" t="s">
        <v>427</v>
      </c>
      <c r="W16" s="3" t="s">
        <v>433</v>
      </c>
    </row>
    <row r="17" spans="1:23">
      <c r="A17" s="19">
        <v>11</v>
      </c>
      <c r="B17" s="320" t="s">
        <v>44</v>
      </c>
      <c r="C17" s="320" t="s">
        <v>425</v>
      </c>
      <c r="D17" s="320" t="s">
        <v>430</v>
      </c>
      <c r="E17" s="338">
        <f>(M17/1.18)/1.18</f>
        <v>13645.504165469694</v>
      </c>
      <c r="F17" s="338"/>
      <c r="G17" s="321">
        <f>(M17/1.133)/1.18</f>
        <v>14211.557736323246</v>
      </c>
      <c r="H17" s="338">
        <f>(M17/1.17)/1.18</f>
        <v>13762.132406200204</v>
      </c>
      <c r="I17" s="338"/>
      <c r="J17" s="338">
        <f>AVERAGE(E17:I17)</f>
        <v>13873.064769331048</v>
      </c>
      <c r="K17" s="336">
        <v>13337.28813559322</v>
      </c>
      <c r="L17" s="338">
        <f>AVERAGE(E17:K17)</f>
        <v>13765.909442583483</v>
      </c>
      <c r="M17" s="321">
        <v>19000</v>
      </c>
      <c r="N17" s="322">
        <v>0.6</v>
      </c>
      <c r="O17" s="321">
        <v>7500</v>
      </c>
      <c r="P17" s="328">
        <v>8589</v>
      </c>
      <c r="Q17" s="170">
        <f>(L17-P17)/L17</f>
        <v>0.37606737601870488</v>
      </c>
      <c r="R17" s="170">
        <f>100%-Q17</f>
        <v>0.62393262398129512</v>
      </c>
      <c r="S17" s="324">
        <f>Q17-N17</f>
        <v>-0.2239326239812951</v>
      </c>
      <c r="T17" s="321">
        <f>O17-P17</f>
        <v>-1089</v>
      </c>
      <c r="U17" s="277" t="str">
        <f>IF(Q17&gt;=50%,"GO","NO GO")</f>
        <v>NO GO</v>
      </c>
      <c r="V17" s="325" t="s">
        <v>427</v>
      </c>
      <c r="W17" s="3" t="s">
        <v>428</v>
      </c>
    </row>
    <row r="18" spans="1:23">
      <c r="A18" s="19">
        <v>12</v>
      </c>
      <c r="B18" s="320" t="s">
        <v>37</v>
      </c>
      <c r="C18" s="320" t="s">
        <v>425</v>
      </c>
      <c r="D18" s="320" t="s">
        <v>430</v>
      </c>
      <c r="E18" s="338">
        <f>(M18/1.18)/1.18</f>
        <v>14004.596380350475</v>
      </c>
      <c r="F18" s="338"/>
      <c r="G18" s="321">
        <f>(M18/1.133)/1.18</f>
        <v>14585.546097805436</v>
      </c>
      <c r="H18" s="338">
        <f>(M18/1.17)/1.18</f>
        <v>14124.293785310736</v>
      </c>
      <c r="I18" s="338"/>
      <c r="J18" s="338">
        <f>AVERAGE(E18:I18)</f>
        <v>14238.145421155548</v>
      </c>
      <c r="K18" s="336">
        <v>13516.949152542373</v>
      </c>
      <c r="L18" s="338">
        <f>AVERAGE(E18:K18)</f>
        <v>14093.906167432913</v>
      </c>
      <c r="M18" s="321">
        <v>19500</v>
      </c>
      <c r="N18" s="322">
        <v>0.6</v>
      </c>
      <c r="O18" s="321">
        <v>7800</v>
      </c>
      <c r="P18" s="321">
        <f>8793-35</f>
        <v>8758</v>
      </c>
      <c r="Q18" s="170">
        <f>(L18-P18)/L18</f>
        <v>0.37859668597501411</v>
      </c>
      <c r="R18" s="170">
        <f>100%-Q18</f>
        <v>0.62140331402498594</v>
      </c>
      <c r="S18" s="324">
        <f>Q18-N18</f>
        <v>-0.22140331402498586</v>
      </c>
      <c r="T18" s="321">
        <f>O18-P18</f>
        <v>-958</v>
      </c>
      <c r="U18" s="277" t="str">
        <f>IF(Q18&gt;=50%,"GO","NO GO")</f>
        <v>NO GO</v>
      </c>
      <c r="V18" s="325" t="s">
        <v>427</v>
      </c>
      <c r="W18" s="3" t="s">
        <v>428</v>
      </c>
    </row>
    <row r="19" spans="1:23">
      <c r="A19" s="370">
        <v>14</v>
      </c>
      <c r="B19" s="371" t="s">
        <v>350</v>
      </c>
      <c r="C19" s="371" t="s">
        <v>429</v>
      </c>
      <c r="D19" s="371" t="s">
        <v>439</v>
      </c>
      <c r="E19" s="351"/>
      <c r="F19" s="351">
        <f>(M19/1.13)/1.18</f>
        <v>19124.043797810111</v>
      </c>
      <c r="G19" s="351">
        <f>(M19/1.138)/1.18</f>
        <v>18989.604122605826</v>
      </c>
      <c r="H19" s="372"/>
      <c r="I19" s="372">
        <f>(M19/1.123)/1.18</f>
        <v>19243.249769835642</v>
      </c>
      <c r="J19" s="338">
        <f>AVERAGE(E19:I19)</f>
        <v>19118.965896750527</v>
      </c>
      <c r="K19" s="382">
        <v>17122.033898305086</v>
      </c>
      <c r="L19" s="351">
        <f>AVERAGE(E19:K19)</f>
        <v>18719.579497061441</v>
      </c>
      <c r="M19" s="353">
        <v>25500</v>
      </c>
      <c r="N19" s="352">
        <v>0.6</v>
      </c>
      <c r="O19" s="353">
        <v>10700</v>
      </c>
      <c r="P19" s="356">
        <v>11200</v>
      </c>
      <c r="Q19" s="374">
        <f>(L19-P19)/L19</f>
        <v>0.40169596214711167</v>
      </c>
      <c r="R19" s="170">
        <f>100%-Q19</f>
        <v>0.59830403785288833</v>
      </c>
      <c r="S19" s="375">
        <f>Q19-N19</f>
        <v>-0.1983040378528883</v>
      </c>
      <c r="T19" s="353">
        <f>O19-P19</f>
        <v>-500</v>
      </c>
      <c r="U19" s="376" t="str">
        <f>IF(Q19&gt;=50%,"GO","NO GO")</f>
        <v>NO GO</v>
      </c>
      <c r="V19" s="377" t="s">
        <v>436</v>
      </c>
      <c r="W19" s="276" t="s">
        <v>440</v>
      </c>
    </row>
    <row r="20" spans="1:23">
      <c r="A20" s="19">
        <v>3</v>
      </c>
      <c r="B20" s="320" t="s">
        <v>39</v>
      </c>
      <c r="C20" s="320" t="s">
        <v>425</v>
      </c>
      <c r="D20" s="320" t="s">
        <v>441</v>
      </c>
      <c r="E20" s="338">
        <f>(M20/1.18)/1.18</f>
        <v>9695.4898017810974</v>
      </c>
      <c r="F20" s="338"/>
      <c r="G20" s="321">
        <f>(M20/1.133)/1.18</f>
        <v>10097.685760019149</v>
      </c>
      <c r="H20" s="338">
        <f>(M20/1.17)/1.18</f>
        <v>9778.3572359843565</v>
      </c>
      <c r="I20" s="338"/>
      <c r="J20" s="338">
        <f>AVERAGE(E20:I20)</f>
        <v>9857.1775992615349</v>
      </c>
      <c r="K20" s="336">
        <v>8918.6440677966111</v>
      </c>
      <c r="L20" s="338">
        <f>AVERAGE(E20:K20)</f>
        <v>9669.4708929685494</v>
      </c>
      <c r="M20" s="321">
        <v>13500</v>
      </c>
      <c r="N20" s="322">
        <v>0.6</v>
      </c>
      <c r="O20" s="321">
        <v>4300</v>
      </c>
      <c r="P20" s="323">
        <v>4957</v>
      </c>
      <c r="Q20" s="170">
        <f>(L20-P20)/L20</f>
        <v>0.48735561078066497</v>
      </c>
      <c r="R20" s="170">
        <f>100%-Q20</f>
        <v>0.51264438921933508</v>
      </c>
      <c r="S20" s="324">
        <f>Q20-N20</f>
        <v>-0.11264438921933501</v>
      </c>
      <c r="T20" s="321">
        <f>O20-P20</f>
        <v>-657</v>
      </c>
      <c r="U20" s="277" t="str">
        <f>IF(Q20&gt;=50%,"GO","NO GO")</f>
        <v>NO GO</v>
      </c>
      <c r="V20" s="325" t="s">
        <v>427</v>
      </c>
      <c r="W20" s="3"/>
    </row>
    <row r="21" spans="1:23">
      <c r="A21" s="270">
        <v>16</v>
      </c>
      <c r="B21" s="383" t="s">
        <v>121</v>
      </c>
      <c r="C21" s="383" t="s">
        <v>429</v>
      </c>
      <c r="D21" s="383" t="s">
        <v>439</v>
      </c>
      <c r="E21" s="384"/>
      <c r="F21" s="354">
        <f>(M21/1.13)/1.18</f>
        <v>31497.675116244194</v>
      </c>
      <c r="G21" s="354">
        <f>(M21/1.138)/1.18</f>
        <v>31276.250335110668</v>
      </c>
      <c r="H21" s="385"/>
      <c r="I21" s="354">
        <f>(M21/1.123)/1.18</f>
        <v>31694.009689542239</v>
      </c>
      <c r="J21" s="338">
        <f>AVERAGE(E21:I21)</f>
        <v>31489.311713632371</v>
      </c>
      <c r="K21" s="379">
        <v>28116.101694915254</v>
      </c>
      <c r="L21" s="354">
        <f>AVERAGE(E21:K21)</f>
        <v>30814.669709888949</v>
      </c>
      <c r="M21" s="357">
        <v>41999</v>
      </c>
      <c r="N21" s="358">
        <v>0.6</v>
      </c>
      <c r="O21" s="359">
        <v>10500</v>
      </c>
      <c r="P21" s="359">
        <v>10500</v>
      </c>
      <c r="Q21" s="380">
        <f>(L21-P21)/L21</f>
        <v>0.65925320313816727</v>
      </c>
      <c r="R21" s="170">
        <f>100%-Q21</f>
        <v>0.34074679686183273</v>
      </c>
      <c r="S21" s="386">
        <f>Q21-N21</f>
        <v>5.9253203138167287E-2</v>
      </c>
      <c r="T21" s="355">
        <f>O21-P21</f>
        <v>0</v>
      </c>
      <c r="U21" s="381" t="str">
        <f>IF(Q21&gt;=50%,"GO","NO GO")</f>
        <v>GO</v>
      </c>
      <c r="V21" s="387" t="s">
        <v>436</v>
      </c>
      <c r="W21" s="174"/>
    </row>
    <row r="22" spans="1:23">
      <c r="B22" s="331"/>
      <c r="C22" s="331"/>
      <c r="D22" s="332"/>
      <c r="E22" s="332"/>
      <c r="F22" s="332"/>
      <c r="G22" s="332"/>
      <c r="H22" s="332"/>
      <c r="I22" s="332"/>
      <c r="J22" s="331"/>
      <c r="K22" s="332"/>
      <c r="L22" s="332"/>
      <c r="M22" s="333"/>
      <c r="N22" s="333"/>
      <c r="O22" s="332"/>
      <c r="P22" s="332"/>
      <c r="Q22" s="332"/>
      <c r="R22" s="332"/>
      <c r="S22" s="331"/>
    </row>
    <row r="23" spans="1:23">
      <c r="B23" s="331"/>
      <c r="C23" s="331"/>
      <c r="D23" s="332"/>
      <c r="E23" s="332"/>
      <c r="F23" s="332"/>
      <c r="G23" s="332"/>
      <c r="H23" s="332"/>
      <c r="I23" s="332"/>
      <c r="J23" s="331"/>
      <c r="K23" s="332"/>
      <c r="L23" s="332"/>
      <c r="M23" s="333"/>
      <c r="N23" s="333"/>
      <c r="O23" s="332"/>
      <c r="P23" s="332"/>
      <c r="Q23" s="332"/>
      <c r="R23" s="332"/>
      <c r="S23" s="331"/>
    </row>
    <row r="24" spans="1:23">
      <c r="B24" s="331"/>
      <c r="C24" s="331"/>
      <c r="D24" s="332"/>
      <c r="E24" s="332"/>
      <c r="F24" s="332"/>
      <c r="G24" s="332"/>
      <c r="H24" s="332"/>
      <c r="I24" s="332"/>
      <c r="J24" s="331"/>
      <c r="K24" s="332"/>
      <c r="L24" s="332"/>
      <c r="M24" s="333"/>
      <c r="N24" s="333"/>
      <c r="O24" s="332"/>
      <c r="P24" s="332"/>
      <c r="Q24" s="332"/>
      <c r="R24" s="332"/>
      <c r="S24" s="331"/>
    </row>
    <row r="25" spans="1:23">
      <c r="B25" s="331"/>
      <c r="C25" s="331"/>
      <c r="D25" s="332"/>
      <c r="E25" s="332"/>
      <c r="F25" s="332"/>
      <c r="G25" s="332"/>
      <c r="H25" s="332"/>
      <c r="I25" s="332"/>
      <c r="J25" s="331"/>
      <c r="K25" s="332"/>
      <c r="L25" s="332"/>
      <c r="M25" s="333"/>
      <c r="N25" s="333"/>
      <c r="O25" s="332"/>
      <c r="P25" s="335"/>
      <c r="Q25" s="332"/>
      <c r="R25" s="332"/>
      <c r="S25" s="331"/>
    </row>
    <row r="27" spans="1:23">
      <c r="P27" s="339">
        <f>P3-4181</f>
        <v>1291</v>
      </c>
      <c r="Q27" s="339">
        <f>P3-4322</f>
        <v>1150</v>
      </c>
      <c r="R27" s="339"/>
    </row>
  </sheetData>
  <autoFilter ref="A1:AA21" xr:uid="{365A3039-BCF2-40B1-97DE-F9610E772EA0}">
    <sortState xmlns:xlrd2="http://schemas.microsoft.com/office/spreadsheetml/2017/richdata2" ref="A2:AA21">
      <sortCondition ref="S1:S21"/>
    </sortState>
  </autoFilter>
  <conditionalFormatting sqref="S2:S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S1:S104857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{F7925367-53C9-4CA9-B297-A5B466B34944}</x14:id>
        </ext>
      </extLst>
    </cfRule>
  </conditionalFormatting>
  <dataValidations count="1">
    <dataValidation type="list" allowBlank="1" showInputMessage="1" showErrorMessage="1" sqref="V2:V21" xr:uid="{FDFDE056-788E-4CE3-8D58-FB9D18DC1948}">
      <formula1>$AA$3:$AA$4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925367-53C9-4CA9-B297-A5B466B349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S1:S1048576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3039-BCF2-40B1-97DE-F9610E772EA0}">
  <dimension ref="A1:N25"/>
  <sheetViews>
    <sheetView zoomScale="150" workbookViewId="0">
      <selection activeCell="F5" sqref="F5"/>
    </sheetView>
  </sheetViews>
  <sheetFormatPr defaultColWidth="8.85546875" defaultRowHeight="15"/>
  <cols>
    <col min="1" max="1" width="7.140625" customWidth="1"/>
    <col min="2" max="2" width="10.42578125" customWidth="1"/>
    <col min="3" max="3" width="9.140625" customWidth="1"/>
    <col min="4" max="4" width="12.42578125" style="1" customWidth="1"/>
    <col min="5" max="5" width="14.7109375" style="133" customWidth="1"/>
    <col min="6" max="6" width="8.85546875" style="133" customWidth="1"/>
    <col min="7" max="7" width="10.42578125" style="1" bestFit="1" customWidth="1"/>
    <col min="8" max="8" width="12.42578125" style="1" customWidth="1"/>
    <col min="9" max="9" width="11" style="1" customWidth="1"/>
    <col min="10" max="10" width="17.85546875" customWidth="1"/>
    <col min="11" max="11" width="8.7109375" style="1" customWidth="1"/>
    <col min="12" max="12" width="10.85546875" style="1" customWidth="1"/>
    <col min="13" max="13" width="32.42578125" customWidth="1"/>
    <col min="14" max="14" width="31.5703125" customWidth="1"/>
  </cols>
  <sheetData>
    <row r="1" spans="1:14" s="156" customFormat="1" ht="30" customHeight="1">
      <c r="A1" s="156" t="s">
        <v>169</v>
      </c>
      <c r="B1" s="227" t="s">
        <v>404</v>
      </c>
      <c r="C1" s="228" t="s">
        <v>405</v>
      </c>
      <c r="D1" s="228" t="s">
        <v>406</v>
      </c>
      <c r="E1" s="269" t="s">
        <v>415</v>
      </c>
      <c r="F1" s="229" t="s">
        <v>416</v>
      </c>
      <c r="G1" s="228" t="s">
        <v>417</v>
      </c>
      <c r="H1" s="230" t="s">
        <v>418</v>
      </c>
      <c r="I1" s="231" t="s">
        <v>419</v>
      </c>
      <c r="J1" s="232" t="s">
        <v>420</v>
      </c>
      <c r="K1" s="228" t="s">
        <v>421</v>
      </c>
      <c r="L1" s="273" t="s">
        <v>422</v>
      </c>
      <c r="M1" s="274" t="s">
        <v>423</v>
      </c>
      <c r="N1" s="271" t="s">
        <v>424</v>
      </c>
    </row>
    <row r="2" spans="1:14" s="144" customFormat="1">
      <c r="A2" s="19">
        <v>8</v>
      </c>
      <c r="B2" s="155" t="s">
        <v>42</v>
      </c>
      <c r="C2" s="155" t="s">
        <v>425</v>
      </c>
      <c r="D2" s="155" t="s">
        <v>426</v>
      </c>
      <c r="E2" s="153">
        <v>15999</v>
      </c>
      <c r="F2" s="171">
        <v>0.6</v>
      </c>
      <c r="G2" s="153">
        <v>6400</v>
      </c>
      <c r="H2" s="185">
        <v>8815</v>
      </c>
      <c r="I2" s="170">
        <f>(E2-H2)/E2</f>
        <v>0.44902806425401587</v>
      </c>
      <c r="J2" s="189">
        <f>I2-F2</f>
        <v>-0.15097193574598411</v>
      </c>
      <c r="K2" s="153">
        <f>J2*E2</f>
        <v>-2415.3999999999996</v>
      </c>
      <c r="L2" s="272" t="str">
        <f>IF(I2&gt;=50%,"GO","NO GO")</f>
        <v>NO GO</v>
      </c>
      <c r="M2" s="90" t="s">
        <v>427</v>
      </c>
      <c r="N2" s="3" t="s">
        <v>428</v>
      </c>
    </row>
    <row r="3" spans="1:14">
      <c r="A3" s="19">
        <v>2</v>
      </c>
      <c r="B3" s="155" t="s">
        <v>61</v>
      </c>
      <c r="C3" s="155" t="s">
        <v>429</v>
      </c>
      <c r="D3" s="155" t="s">
        <v>429</v>
      </c>
      <c r="E3" s="153">
        <v>10000</v>
      </c>
      <c r="F3" s="171">
        <v>0.6</v>
      </c>
      <c r="G3" s="153">
        <v>4000</v>
      </c>
      <c r="H3" s="154">
        <v>5472</v>
      </c>
      <c r="I3" s="170">
        <f>(E3-H3)/E3</f>
        <v>0.45279999999999998</v>
      </c>
      <c r="J3" s="189">
        <f>I3-F3</f>
        <v>-0.1472</v>
      </c>
      <c r="K3" s="153">
        <f>J3*E3</f>
        <v>-1472</v>
      </c>
      <c r="L3" s="272" t="str">
        <f>IF(I3&gt;=50%,"GO","NO GO")</f>
        <v>NO GO</v>
      </c>
      <c r="M3" s="90" t="s">
        <v>427</v>
      </c>
      <c r="N3" s="3"/>
    </row>
    <row r="4" spans="1:14" ht="14.25" customHeight="1">
      <c r="A4" s="19">
        <v>15</v>
      </c>
      <c r="B4" s="155" t="s">
        <v>47</v>
      </c>
      <c r="C4" s="155" t="s">
        <v>425</v>
      </c>
      <c r="D4" s="155" t="s">
        <v>430</v>
      </c>
      <c r="E4" s="153">
        <v>28500</v>
      </c>
      <c r="F4" s="171">
        <v>0.6</v>
      </c>
      <c r="G4" s="153">
        <v>12000</v>
      </c>
      <c r="H4" s="185">
        <v>15333</v>
      </c>
      <c r="I4" s="170">
        <f>(E4-H4)/E4</f>
        <v>0.46200000000000002</v>
      </c>
      <c r="J4" s="189">
        <f>I4-F4</f>
        <v>-0.13799999999999996</v>
      </c>
      <c r="K4" s="153">
        <f>J4*E4</f>
        <v>-3932.9999999999986</v>
      </c>
      <c r="L4" s="272" t="str">
        <f>IF(I4&gt;=50%,"GO","NO GO")</f>
        <v>NO GO</v>
      </c>
      <c r="M4" s="90" t="s">
        <v>427</v>
      </c>
      <c r="N4" s="3"/>
    </row>
    <row r="5" spans="1:14">
      <c r="A5" s="19">
        <v>5</v>
      </c>
      <c r="B5" s="155" t="s">
        <v>41</v>
      </c>
      <c r="C5" s="155" t="s">
        <v>425</v>
      </c>
      <c r="D5" s="155" t="s">
        <v>426</v>
      </c>
      <c r="E5" s="153">
        <v>14999</v>
      </c>
      <c r="F5" s="171">
        <v>0.6</v>
      </c>
      <c r="G5" s="153">
        <v>6000</v>
      </c>
      <c r="H5" s="185">
        <v>7827</v>
      </c>
      <c r="I5" s="170">
        <f>(E5-H5)/E5</f>
        <v>0.47816521101406761</v>
      </c>
      <c r="J5" s="189">
        <f>I5-F5</f>
        <v>-0.12183478898593236</v>
      </c>
      <c r="K5" s="153">
        <f>J5*E5</f>
        <v>-1827.3999999999994</v>
      </c>
      <c r="L5" s="272" t="str">
        <f>IF(I5&gt;=50%,"GO","NO GO")</f>
        <v>NO GO</v>
      </c>
      <c r="M5" s="90" t="s">
        <v>427</v>
      </c>
      <c r="N5" s="3" t="s">
        <v>428</v>
      </c>
    </row>
    <row r="6" spans="1:14">
      <c r="A6" s="19">
        <v>1</v>
      </c>
      <c r="B6" s="155" t="s">
        <v>72</v>
      </c>
      <c r="C6" s="155" t="s">
        <v>429</v>
      </c>
      <c r="D6" s="155" t="s">
        <v>429</v>
      </c>
      <c r="E6" s="153">
        <v>9000</v>
      </c>
      <c r="F6" s="171">
        <v>0.6</v>
      </c>
      <c r="G6" s="153">
        <v>3600</v>
      </c>
      <c r="H6" s="154">
        <v>4692</v>
      </c>
      <c r="I6" s="170">
        <f>(E6-H6)/E6</f>
        <v>0.47866666666666668</v>
      </c>
      <c r="J6" s="189">
        <f>I6-F6</f>
        <v>-0.12133333333333329</v>
      </c>
      <c r="K6" s="153">
        <f>J6*E6</f>
        <v>-1091.9999999999995</v>
      </c>
      <c r="L6" s="272" t="str">
        <f>IF(I6&gt;=50%,"GO","NO GO")</f>
        <v>NO GO</v>
      </c>
      <c r="M6" s="90" t="s">
        <v>427</v>
      </c>
      <c r="N6" s="3"/>
    </row>
    <row r="7" spans="1:14">
      <c r="A7" s="58">
        <v>18</v>
      </c>
      <c r="B7" s="188" t="s">
        <v>431</v>
      </c>
      <c r="C7" s="184" t="s">
        <v>429</v>
      </c>
      <c r="D7" s="184" t="s">
        <v>432</v>
      </c>
      <c r="E7" s="153">
        <v>14500</v>
      </c>
      <c r="F7" s="186">
        <v>0.6</v>
      </c>
      <c r="G7" s="185">
        <v>5800</v>
      </c>
      <c r="H7" s="185">
        <v>7487</v>
      </c>
      <c r="I7" s="187">
        <f>(E7-H7)/E7</f>
        <v>0.48365517241379308</v>
      </c>
      <c r="J7" s="190">
        <f>I7-F7</f>
        <v>-0.1163448275862069</v>
      </c>
      <c r="K7" s="185">
        <f>J7*E7</f>
        <v>-1687</v>
      </c>
      <c r="L7" s="272" t="str">
        <f>IF(I7&gt;=50%,"GO","NO GO")</f>
        <v>NO GO</v>
      </c>
      <c r="M7" s="188" t="s">
        <v>427</v>
      </c>
      <c r="N7" s="3" t="s">
        <v>433</v>
      </c>
    </row>
    <row r="8" spans="1:14">
      <c r="A8" s="19">
        <v>9</v>
      </c>
      <c r="B8" s="155" t="s">
        <v>51</v>
      </c>
      <c r="C8" s="155" t="s">
        <v>429</v>
      </c>
      <c r="D8" s="155" t="s">
        <v>432</v>
      </c>
      <c r="E8" s="153">
        <v>17500</v>
      </c>
      <c r="F8" s="171">
        <v>0.6</v>
      </c>
      <c r="G8" s="153">
        <v>7000</v>
      </c>
      <c r="H8" s="153">
        <v>8936</v>
      </c>
      <c r="I8" s="170">
        <f>(E8-H8)/E8</f>
        <v>0.48937142857142857</v>
      </c>
      <c r="J8" s="189">
        <f>I8-F8</f>
        <v>-0.11062857142857141</v>
      </c>
      <c r="K8" s="153">
        <f>J8*E8</f>
        <v>-1935.9999999999998</v>
      </c>
      <c r="L8" s="272" t="str">
        <f>IF(I8&gt;=50%,"GO","NO GO")</f>
        <v>NO GO</v>
      </c>
      <c r="M8" s="90" t="s">
        <v>436</v>
      </c>
      <c r="N8" s="3" t="s">
        <v>428</v>
      </c>
    </row>
    <row r="9" spans="1:14">
      <c r="A9" s="19">
        <v>4</v>
      </c>
      <c r="B9" s="155" t="s">
        <v>84</v>
      </c>
      <c r="C9" s="155" t="s">
        <v>425</v>
      </c>
      <c r="D9" s="155" t="s">
        <v>426</v>
      </c>
      <c r="E9" s="153">
        <v>14500</v>
      </c>
      <c r="F9" s="171">
        <v>0.6</v>
      </c>
      <c r="G9" s="153">
        <v>5800</v>
      </c>
      <c r="H9" s="185">
        <v>7197</v>
      </c>
      <c r="I9" s="170">
        <f>(E9-H9)/E9</f>
        <v>0.5036551724137931</v>
      </c>
      <c r="J9" s="189">
        <f>I9-F9</f>
        <v>-9.6344827586206883E-2</v>
      </c>
      <c r="K9" s="153">
        <f>J9*E9</f>
        <v>-1396.9999999999998</v>
      </c>
      <c r="L9" s="272" t="str">
        <f>IF(I9&gt;=50%,"GO","NO GO")</f>
        <v>GO</v>
      </c>
      <c r="M9" s="90" t="s">
        <v>427</v>
      </c>
      <c r="N9" s="3" t="s">
        <v>437</v>
      </c>
    </row>
    <row r="10" spans="1:14">
      <c r="A10" s="19">
        <v>7</v>
      </c>
      <c r="B10" s="155" t="s">
        <v>49</v>
      </c>
      <c r="C10" s="155" t="s">
        <v>429</v>
      </c>
      <c r="D10" s="155" t="s">
        <v>432</v>
      </c>
      <c r="E10" s="153">
        <v>15500</v>
      </c>
      <c r="F10" s="171">
        <v>0.6</v>
      </c>
      <c r="G10" s="153">
        <v>6200</v>
      </c>
      <c r="H10" s="153">
        <v>7509</v>
      </c>
      <c r="I10" s="170">
        <f>(E10-H10)/E10</f>
        <v>0.5155483870967742</v>
      </c>
      <c r="J10" s="189">
        <f>I10-F10</f>
        <v>-8.4451612903225781E-2</v>
      </c>
      <c r="K10" s="153">
        <f>J10*E10</f>
        <v>-1308.9999999999995</v>
      </c>
      <c r="L10" s="272" t="str">
        <f>IF(I10&gt;=50%,"GO","NO GO")</f>
        <v>GO</v>
      </c>
      <c r="M10" s="90" t="s">
        <v>436</v>
      </c>
      <c r="N10" s="3" t="s">
        <v>428</v>
      </c>
    </row>
    <row r="11" spans="1:14">
      <c r="A11" s="19">
        <v>6</v>
      </c>
      <c r="B11" s="155" t="s">
        <v>34</v>
      </c>
      <c r="C11" s="155" t="s">
        <v>425</v>
      </c>
      <c r="D11" s="155" t="s">
        <v>426</v>
      </c>
      <c r="E11" s="153">
        <v>15500</v>
      </c>
      <c r="F11" s="171">
        <v>0.6</v>
      </c>
      <c r="G11" s="153">
        <v>6200</v>
      </c>
      <c r="H11" s="185">
        <v>7471</v>
      </c>
      <c r="I11" s="170">
        <f>(E11-H11)/E11</f>
        <v>0.51800000000000002</v>
      </c>
      <c r="J11" s="189">
        <f>I11-F11</f>
        <v>-8.1999999999999962E-2</v>
      </c>
      <c r="K11" s="153">
        <f>J11*E11</f>
        <v>-1270.9999999999993</v>
      </c>
      <c r="L11" s="272" t="str">
        <f>IF(I11&gt;=50%,"GO","NO GO")</f>
        <v>GO</v>
      </c>
      <c r="M11" s="90" t="s">
        <v>427</v>
      </c>
      <c r="N11" s="3" t="s">
        <v>437</v>
      </c>
    </row>
    <row r="12" spans="1:14">
      <c r="A12" s="19">
        <v>13</v>
      </c>
      <c r="B12" s="155" t="s">
        <v>45</v>
      </c>
      <c r="C12" s="155" t="s">
        <v>425</v>
      </c>
      <c r="D12" s="155" t="s">
        <v>430</v>
      </c>
      <c r="E12" s="153">
        <v>20000</v>
      </c>
      <c r="F12" s="171">
        <v>0.6</v>
      </c>
      <c r="G12" s="153">
        <v>8000</v>
      </c>
      <c r="H12" s="285">
        <v>9575</v>
      </c>
      <c r="I12" s="170">
        <f>(E12-H12)/E12</f>
        <v>0.52124999999999999</v>
      </c>
      <c r="J12" s="189">
        <f>I12-F12</f>
        <v>-7.8749999999999987E-2</v>
      </c>
      <c r="K12" s="153">
        <f>J12*E12</f>
        <v>-1574.9999999999998</v>
      </c>
      <c r="L12" s="272" t="str">
        <f>IF(I12&gt;=50%,"GO","NO GO")</f>
        <v>GO</v>
      </c>
      <c r="M12" s="90" t="s">
        <v>427</v>
      </c>
      <c r="N12" s="3" t="s">
        <v>428</v>
      </c>
    </row>
    <row r="13" spans="1:14">
      <c r="A13" s="58">
        <v>17</v>
      </c>
      <c r="B13" s="188" t="s">
        <v>438</v>
      </c>
      <c r="C13" s="184" t="s">
        <v>429</v>
      </c>
      <c r="D13" s="184" t="s">
        <v>432</v>
      </c>
      <c r="E13" s="185">
        <v>13500</v>
      </c>
      <c r="F13" s="186">
        <v>0.6</v>
      </c>
      <c r="G13" s="185">
        <v>5400</v>
      </c>
      <c r="H13" s="185">
        <v>6402</v>
      </c>
      <c r="I13" s="187">
        <f>(E13-H13)/E13</f>
        <v>0.52577777777777779</v>
      </c>
      <c r="J13" s="190">
        <f>I13-F13</f>
        <v>-7.4222222222222189E-2</v>
      </c>
      <c r="K13" s="185">
        <f>J13*E13</f>
        <v>-1001.9999999999995</v>
      </c>
      <c r="L13" s="272" t="str">
        <f>IF(I13&gt;=50%,"GO","NO GO")</f>
        <v>GO</v>
      </c>
      <c r="M13" s="188" t="s">
        <v>427</v>
      </c>
      <c r="N13" s="3" t="s">
        <v>433</v>
      </c>
    </row>
    <row r="14" spans="1:14">
      <c r="A14" s="19">
        <v>19</v>
      </c>
      <c r="B14" s="155" t="s">
        <v>36</v>
      </c>
      <c r="C14" s="155" t="s">
        <v>425</v>
      </c>
      <c r="D14" s="155" t="s">
        <v>434</v>
      </c>
      <c r="E14" s="153">
        <v>20950</v>
      </c>
      <c r="F14" s="186">
        <v>0.6</v>
      </c>
      <c r="G14" s="185">
        <f>E14*(100%-F14)</f>
        <v>8380</v>
      </c>
      <c r="H14" s="286">
        <f>9964-35</f>
        <v>9929</v>
      </c>
      <c r="I14" s="187">
        <f>(E14-H14)/E14</f>
        <v>0.5260620525059666</v>
      </c>
      <c r="J14" s="190">
        <f>I14-F14</f>
        <v>-7.3937947494033374E-2</v>
      </c>
      <c r="K14" s="185">
        <f>J14*E14</f>
        <v>-1548.9999999999991</v>
      </c>
      <c r="L14" s="272" t="str">
        <f>IF(I14&gt;=50%,"GO","NO GO")</f>
        <v>GO</v>
      </c>
      <c r="M14" s="90" t="s">
        <v>427</v>
      </c>
      <c r="N14" s="3" t="s">
        <v>435</v>
      </c>
    </row>
    <row r="15" spans="1:14">
      <c r="A15" s="19">
        <v>10</v>
      </c>
      <c r="B15" s="155" t="s">
        <v>36</v>
      </c>
      <c r="C15" s="155" t="s">
        <v>425</v>
      </c>
      <c r="D15" s="155" t="s">
        <v>430</v>
      </c>
      <c r="E15" s="153">
        <v>17950</v>
      </c>
      <c r="F15" s="171">
        <v>0.6</v>
      </c>
      <c r="G15" s="153">
        <v>7000</v>
      </c>
      <c r="H15" s="153">
        <f>8518-35</f>
        <v>8483</v>
      </c>
      <c r="I15" s="170">
        <f>(E15-H15)/E15</f>
        <v>0.5274094707520891</v>
      </c>
      <c r="J15" s="189">
        <f>I15-F15</f>
        <v>-7.2590529247910873E-2</v>
      </c>
      <c r="K15" s="153">
        <f>J15*E15</f>
        <v>-1303.0000000000002</v>
      </c>
      <c r="L15" s="272" t="str">
        <f>IF(I15&gt;=50%,"GO","NO GO")</f>
        <v>GO</v>
      </c>
      <c r="M15" s="90" t="s">
        <v>427</v>
      </c>
      <c r="N15" s="3" t="s">
        <v>428</v>
      </c>
    </row>
    <row r="16" spans="1:14">
      <c r="A16" s="19">
        <v>20</v>
      </c>
      <c r="B16" s="155" t="s">
        <v>37</v>
      </c>
      <c r="C16" s="155" t="s">
        <v>425</v>
      </c>
      <c r="D16" s="155" t="s">
        <v>434</v>
      </c>
      <c r="E16" s="153">
        <v>22500</v>
      </c>
      <c r="F16" s="186">
        <v>0.6</v>
      </c>
      <c r="G16" s="185">
        <f>E16*(100%-F16)</f>
        <v>9000</v>
      </c>
      <c r="H16" s="233">
        <f>10239-35</f>
        <v>10204</v>
      </c>
      <c r="I16" s="187">
        <f>(E16-H16)/E16</f>
        <v>0.54648888888888891</v>
      </c>
      <c r="J16" s="190">
        <f>I16-F16</f>
        <v>-5.3511111111111065E-2</v>
      </c>
      <c r="K16" s="185">
        <f>J16*E16</f>
        <v>-1203.9999999999989</v>
      </c>
      <c r="L16" s="272" t="str">
        <f>IF(I16&gt;=50%,"GO","NO GO")</f>
        <v>GO</v>
      </c>
      <c r="M16" s="90" t="s">
        <v>427</v>
      </c>
      <c r="N16" s="3" t="s">
        <v>435</v>
      </c>
    </row>
    <row r="17" spans="1:14">
      <c r="A17" s="19">
        <v>11</v>
      </c>
      <c r="B17" s="155" t="s">
        <v>44</v>
      </c>
      <c r="C17" s="155" t="s">
        <v>425</v>
      </c>
      <c r="D17" s="155" t="s">
        <v>430</v>
      </c>
      <c r="E17" s="153">
        <v>19000</v>
      </c>
      <c r="F17" s="171">
        <v>0.6</v>
      </c>
      <c r="G17" s="153">
        <v>7500</v>
      </c>
      <c r="H17" s="285">
        <v>8589</v>
      </c>
      <c r="I17" s="170">
        <f>(E17-H17)/E17</f>
        <v>0.54794736842105263</v>
      </c>
      <c r="J17" s="189">
        <f>I17-F17</f>
        <v>-5.205263157894735E-2</v>
      </c>
      <c r="K17" s="153">
        <f>J17*E17</f>
        <v>-988.99999999999966</v>
      </c>
      <c r="L17" s="272" t="str">
        <f>IF(I17&gt;=50%,"GO","NO GO")</f>
        <v>GO</v>
      </c>
      <c r="M17" s="90" t="s">
        <v>427</v>
      </c>
      <c r="N17" s="3" t="s">
        <v>428</v>
      </c>
    </row>
    <row r="18" spans="1:14">
      <c r="A18" s="19">
        <v>12</v>
      </c>
      <c r="B18" s="155" t="s">
        <v>37</v>
      </c>
      <c r="C18" s="155" t="s">
        <v>425</v>
      </c>
      <c r="D18" s="155" t="s">
        <v>430</v>
      </c>
      <c r="E18" s="153">
        <v>19500</v>
      </c>
      <c r="F18" s="171">
        <v>0.6</v>
      </c>
      <c r="G18" s="153">
        <v>7800</v>
      </c>
      <c r="H18" s="153">
        <f>8793-35</f>
        <v>8758</v>
      </c>
      <c r="I18" s="170">
        <f>(E18-H18)/E18</f>
        <v>0.55087179487179483</v>
      </c>
      <c r="J18" s="189">
        <f>I18-F18</f>
        <v>-4.9128205128205149E-2</v>
      </c>
      <c r="K18" s="153">
        <f>J18*E18</f>
        <v>-958.00000000000045</v>
      </c>
      <c r="L18" s="272" t="str">
        <f>IF(I18&gt;=50%,"GO","NO GO")</f>
        <v>GO</v>
      </c>
      <c r="M18" s="90" t="s">
        <v>427</v>
      </c>
      <c r="N18" s="3" t="s">
        <v>428</v>
      </c>
    </row>
    <row r="19" spans="1:14">
      <c r="A19" s="19">
        <v>14</v>
      </c>
      <c r="B19" s="155" t="s">
        <v>350</v>
      </c>
      <c r="C19" s="155" t="s">
        <v>429</v>
      </c>
      <c r="D19" s="155" t="s">
        <v>439</v>
      </c>
      <c r="E19" s="153">
        <v>25500</v>
      </c>
      <c r="F19" s="171">
        <v>0.57999999999999996</v>
      </c>
      <c r="G19" s="153">
        <v>10700</v>
      </c>
      <c r="H19" s="185">
        <v>11200</v>
      </c>
      <c r="I19" s="170">
        <f>(E19-H19)/E19</f>
        <v>0.5607843137254902</v>
      </c>
      <c r="J19" s="189">
        <f>I19-F19</f>
        <v>-1.9215686274509758E-2</v>
      </c>
      <c r="K19" s="153">
        <f>J19*E19</f>
        <v>-489.99999999999881</v>
      </c>
      <c r="L19" s="272" t="str">
        <f>IF(I19&gt;=50%,"GO","NO GO")</f>
        <v>GO</v>
      </c>
      <c r="M19" s="90" t="s">
        <v>436</v>
      </c>
      <c r="N19" s="3" t="s">
        <v>440</v>
      </c>
    </row>
    <row r="20" spans="1:14">
      <c r="A20" s="19">
        <v>3</v>
      </c>
      <c r="B20" s="155" t="s">
        <v>39</v>
      </c>
      <c r="C20" s="155" t="s">
        <v>425</v>
      </c>
      <c r="D20" s="155" t="s">
        <v>441</v>
      </c>
      <c r="E20" s="153">
        <v>13500</v>
      </c>
      <c r="F20" s="171">
        <v>0.6</v>
      </c>
      <c r="G20" s="153">
        <v>4300</v>
      </c>
      <c r="H20" s="185">
        <f>4867+100</f>
        <v>4967</v>
      </c>
      <c r="I20" s="170">
        <f>(E20-H20)/E20</f>
        <v>0.63207407407407412</v>
      </c>
      <c r="J20" s="189">
        <f>I20-F20</f>
        <v>3.2074074074074144E-2</v>
      </c>
      <c r="K20" s="153">
        <f>J20*E20</f>
        <v>433.00000000000097</v>
      </c>
      <c r="L20" s="272" t="str">
        <f>IF(I20&gt;=50%,"GO","NO GO")</f>
        <v>GO</v>
      </c>
      <c r="M20" s="90" t="s">
        <v>427</v>
      </c>
      <c r="N20" s="3"/>
    </row>
    <row r="21" spans="1:14">
      <c r="A21" s="270">
        <v>16</v>
      </c>
      <c r="B21" s="184" t="s">
        <v>121</v>
      </c>
      <c r="C21" s="184" t="s">
        <v>429</v>
      </c>
      <c r="D21" s="184" t="s">
        <v>439</v>
      </c>
      <c r="E21" s="185">
        <v>40000</v>
      </c>
      <c r="F21" s="186">
        <v>0.57999999999999996</v>
      </c>
      <c r="G21" s="185">
        <v>10500</v>
      </c>
      <c r="H21" s="185">
        <v>10500</v>
      </c>
      <c r="I21" s="187">
        <f>(E21-H21)/E21</f>
        <v>0.73750000000000004</v>
      </c>
      <c r="J21" s="190">
        <f>I21-F21</f>
        <v>0.15750000000000008</v>
      </c>
      <c r="K21" s="185">
        <f>J21*E21</f>
        <v>6300.0000000000036</v>
      </c>
      <c r="L21" s="272" t="str">
        <f>IF(I21&gt;=50%,"GO","NO GO")</f>
        <v>GO</v>
      </c>
      <c r="M21" s="188" t="s">
        <v>436</v>
      </c>
      <c r="N21" s="3"/>
    </row>
    <row r="22" spans="1:14">
      <c r="B22" s="121"/>
      <c r="C22" s="121"/>
      <c r="D22" s="122"/>
      <c r="E22" s="132"/>
      <c r="F22" s="132"/>
      <c r="G22" s="122"/>
      <c r="H22" s="122"/>
      <c r="I22" s="122"/>
      <c r="J22" s="121"/>
    </row>
    <row r="23" spans="1:14">
      <c r="B23" s="121"/>
      <c r="C23" s="121"/>
      <c r="D23" s="122"/>
      <c r="E23" s="132"/>
      <c r="F23" s="132"/>
      <c r="G23" s="122"/>
      <c r="H23" s="122"/>
      <c r="I23" s="122"/>
      <c r="J23" s="121"/>
    </row>
    <row r="24" spans="1:14">
      <c r="B24" s="121"/>
      <c r="C24" s="121"/>
      <c r="D24" s="122"/>
      <c r="E24" s="132"/>
      <c r="F24" s="132"/>
      <c r="G24" s="122"/>
      <c r="H24" s="122"/>
      <c r="I24" s="122"/>
      <c r="J24" s="121"/>
    </row>
    <row r="25" spans="1:14">
      <c r="B25" s="121"/>
      <c r="C25" s="121"/>
      <c r="D25" s="122"/>
      <c r="E25" s="132"/>
      <c r="F25" s="132"/>
      <c r="G25" s="122"/>
      <c r="H25" s="122"/>
      <c r="I25" s="122"/>
      <c r="J25" s="121"/>
    </row>
  </sheetData>
  <autoFilter ref="A1:R21" xr:uid="{365A3039-BCF2-40B1-97DE-F9610E772EA0}">
    <sortState xmlns:xlrd2="http://schemas.microsoft.com/office/spreadsheetml/2017/richdata2" ref="A2:R21">
      <sortCondition ref="J1:J21"/>
    </sortState>
  </autoFilter>
  <conditionalFormatting sqref="J1:J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{318ACD36-1397-4AD2-A894-E27BDDF93DB9}</x14:id>
        </ext>
      </extLst>
    </cfRule>
  </conditionalFormatting>
  <conditionalFormatting sqref="J2:J2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5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M2:M21" xr:uid="{30ED3673-D32A-4F2B-B847-CF82FF3FF11F}">
      <formula1>$R$3:$R$4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8ACD36-1397-4AD2-A894-E27BDDF93D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Santhosh Sripathy</dc:creator>
  <cp:keywords/>
  <dc:description/>
  <cp:lastModifiedBy/>
  <cp:revision/>
  <dcterms:created xsi:type="dcterms:W3CDTF">2015-06-05T18:17:20Z</dcterms:created>
  <dcterms:modified xsi:type="dcterms:W3CDTF">2026-02-17T09:40:52Z</dcterms:modified>
  <cp:category/>
  <cp:contentStatus/>
</cp:coreProperties>
</file>